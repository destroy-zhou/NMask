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时序预测\DAG-main\"/>
    </mc:Choice>
  </mc:AlternateContent>
  <xr:revisionPtr revIDLastSave="0" documentId="13_ncr:1_{CA42A859-10EE-4345-BB14-9BD8849D278D}" xr6:coauthVersionLast="47" xr6:coauthVersionMax="47" xr10:uidLastSave="{00000000-0000-0000-0000-000000000000}"/>
  <bookViews>
    <workbookView xWindow="-110" yWindow="-110" windowWidth="22620" windowHeight="13620" activeTab="2" xr2:uid="{00000000-000D-0000-FFFF-FFFF00000000}"/>
  </bookViews>
  <sheets>
    <sheet name="Sheet1" sheetId="1" r:id="rId1"/>
    <sheet name="Sheet2" sheetId="2" r:id="rId2"/>
    <sheet name="Sheet2 (2)" sheetId="5" r:id="rId3"/>
    <sheet name="Sheet3" sheetId="3" r:id="rId4"/>
    <sheet name="Sheet6" sheetId="6" r:id="rId5"/>
    <sheet name="eff" sheetId="7" r:id="rId6"/>
  </sheets>
  <calcPr calcId="191029"/>
</workbook>
</file>

<file path=xl/calcChain.xml><?xml version="1.0" encoding="utf-8"?>
<calcChain xmlns="http://schemas.openxmlformats.org/spreadsheetml/2006/main">
  <c r="E38" i="5" l="1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E35" i="5"/>
  <c r="F35" i="5"/>
  <c r="G35" i="5"/>
  <c r="H35" i="5"/>
  <c r="I35" i="5"/>
  <c r="J35" i="5"/>
  <c r="K35" i="5"/>
  <c r="L35" i="5"/>
  <c r="M35" i="5"/>
  <c r="N35" i="5"/>
  <c r="AB35" i="5" s="1"/>
  <c r="O35" i="5"/>
  <c r="P35" i="5"/>
  <c r="Q35" i="5"/>
  <c r="R35" i="5"/>
  <c r="S35" i="5"/>
  <c r="T35" i="5"/>
  <c r="U35" i="5"/>
  <c r="V35" i="5"/>
  <c r="W35" i="5"/>
  <c r="X35" i="5"/>
  <c r="Y35" i="5"/>
  <c r="Z35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AB32" i="5" s="1"/>
  <c r="K32" i="5"/>
  <c r="AA32" i="5" s="1"/>
  <c r="J32" i="5"/>
  <c r="I32" i="5"/>
  <c r="H32" i="5"/>
  <c r="G32" i="5"/>
  <c r="F32" i="5"/>
  <c r="E32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38" i="5"/>
  <c r="C38" i="5"/>
  <c r="AB37" i="5"/>
  <c r="AA37" i="5"/>
  <c r="AB36" i="5"/>
  <c r="AA36" i="5"/>
  <c r="D35" i="5"/>
  <c r="C35" i="5"/>
  <c r="AB34" i="5"/>
  <c r="AA34" i="5"/>
  <c r="AB33" i="5"/>
  <c r="AA33" i="5"/>
  <c r="D32" i="5"/>
  <c r="C32" i="5"/>
  <c r="AB31" i="5"/>
  <c r="AA31" i="5"/>
  <c r="AB30" i="5"/>
  <c r="AA30" i="5"/>
  <c r="D29" i="5"/>
  <c r="C29" i="5"/>
  <c r="AB28" i="5"/>
  <c r="AA28" i="5"/>
  <c r="AB27" i="5"/>
  <c r="AA27" i="5"/>
  <c r="D26" i="5"/>
  <c r="C26" i="5"/>
  <c r="AB25" i="5"/>
  <c r="AA25" i="5"/>
  <c r="AB24" i="5"/>
  <c r="AA24" i="5"/>
  <c r="D23" i="5"/>
  <c r="C23" i="5"/>
  <c r="AB22" i="5"/>
  <c r="AA22" i="5"/>
  <c r="AB21" i="5"/>
  <c r="AA21" i="5"/>
  <c r="D20" i="5"/>
  <c r="C20" i="5"/>
  <c r="AB19" i="5"/>
  <c r="AA19" i="5"/>
  <c r="AB18" i="5"/>
  <c r="AA18" i="5"/>
  <c r="D17" i="5"/>
  <c r="C17" i="5"/>
  <c r="AB16" i="5"/>
  <c r="AA16" i="5"/>
  <c r="AB15" i="5"/>
  <c r="AA15" i="5"/>
  <c r="D14" i="5"/>
  <c r="C14" i="5"/>
  <c r="AB13" i="5"/>
  <c r="AA13" i="5"/>
  <c r="AB12" i="5"/>
  <c r="AA12" i="5"/>
  <c r="D11" i="5"/>
  <c r="C11" i="5"/>
  <c r="AB10" i="5"/>
  <c r="AA10" i="5"/>
  <c r="AB9" i="5"/>
  <c r="AA9" i="5"/>
  <c r="D8" i="5"/>
  <c r="C8" i="5"/>
  <c r="AB7" i="5"/>
  <c r="AA7" i="5"/>
  <c r="AB6" i="5"/>
  <c r="AA6" i="5"/>
  <c r="D5" i="5"/>
  <c r="C5" i="5"/>
  <c r="AB4" i="5"/>
  <c r="AA4" i="5"/>
  <c r="AB3" i="5"/>
  <c r="AA3" i="5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H11" i="2"/>
  <c r="G11" i="2"/>
  <c r="F11" i="2"/>
  <c r="E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8" i="2"/>
  <c r="G8" i="2"/>
  <c r="F8" i="2"/>
  <c r="E8" i="2"/>
  <c r="F5" i="2"/>
  <c r="E5" i="2"/>
  <c r="H5" i="2"/>
  <c r="G5" i="2"/>
  <c r="AA3" i="2"/>
  <c r="AB3" i="2"/>
  <c r="AA4" i="2"/>
  <c r="AB4" i="2"/>
  <c r="AA6" i="2"/>
  <c r="AB6" i="2"/>
  <c r="AA7" i="2"/>
  <c r="AB7" i="2"/>
  <c r="AA9" i="2"/>
  <c r="AB9" i="2"/>
  <c r="AA10" i="2"/>
  <c r="AB10" i="2"/>
  <c r="AA12" i="2"/>
  <c r="AB12" i="2"/>
  <c r="AA13" i="2"/>
  <c r="AB13" i="2"/>
  <c r="AA15" i="2"/>
  <c r="AB15" i="2"/>
  <c r="AA16" i="2"/>
  <c r="AB16" i="2"/>
  <c r="AA18" i="2"/>
  <c r="AB18" i="2"/>
  <c r="AA19" i="2"/>
  <c r="AB19" i="2"/>
  <c r="AA21" i="2"/>
  <c r="AB21" i="2"/>
  <c r="AA22" i="2"/>
  <c r="AB22" i="2"/>
  <c r="AA24" i="2"/>
  <c r="AB24" i="2"/>
  <c r="AA25" i="2"/>
  <c r="AB25" i="2"/>
  <c r="AA27" i="2"/>
  <c r="AB27" i="2"/>
  <c r="AA28" i="2"/>
  <c r="AB28" i="2"/>
  <c r="AA30" i="2"/>
  <c r="AB30" i="2"/>
  <c r="AA31" i="2"/>
  <c r="AB31" i="2"/>
  <c r="AA33" i="2"/>
  <c r="AB33" i="2"/>
  <c r="AA34" i="2"/>
  <c r="AB34" i="2"/>
  <c r="AA36" i="2"/>
  <c r="AB36" i="2"/>
  <c r="AA37" i="2"/>
  <c r="AB37" i="2"/>
  <c r="D38" i="2"/>
  <c r="C38" i="2"/>
  <c r="D35" i="2"/>
  <c r="C35" i="2"/>
  <c r="D32" i="2"/>
  <c r="C32" i="2"/>
  <c r="D29" i="2"/>
  <c r="C29" i="2"/>
  <c r="D26" i="2"/>
  <c r="C26" i="2"/>
  <c r="D23" i="2"/>
  <c r="C23" i="2"/>
  <c r="D20" i="2"/>
  <c r="C20" i="2"/>
  <c r="D17" i="2"/>
  <c r="C17" i="2"/>
  <c r="D14" i="2"/>
  <c r="C14" i="2"/>
  <c r="D11" i="2"/>
  <c r="C11" i="2"/>
  <c r="D8" i="2"/>
  <c r="C8" i="2"/>
  <c r="D5" i="2"/>
  <c r="C5" i="2"/>
  <c r="AA29" i="5" l="1"/>
  <c r="AB14" i="5"/>
  <c r="AA14" i="5"/>
  <c r="AB5" i="5"/>
  <c r="AA5" i="5"/>
  <c r="AA35" i="5"/>
  <c r="AA11" i="5"/>
  <c r="AB29" i="5"/>
  <c r="AB11" i="5"/>
  <c r="AB8" i="5"/>
  <c r="AA8" i="5"/>
  <c r="AA20" i="5"/>
  <c r="AA26" i="5"/>
  <c r="AB38" i="5"/>
  <c r="AB26" i="5"/>
  <c r="AB20" i="5"/>
  <c r="AA17" i="5"/>
  <c r="AA23" i="5"/>
  <c r="AB17" i="5"/>
  <c r="AB23" i="5"/>
  <c r="AA38" i="5"/>
  <c r="AB29" i="2"/>
  <c r="AB26" i="2"/>
  <c r="AB11" i="2"/>
  <c r="AA38" i="2"/>
  <c r="AB38" i="2"/>
  <c r="AA35" i="2"/>
  <c r="AB35" i="2"/>
  <c r="AA32" i="2"/>
  <c r="AB32" i="2"/>
  <c r="AA29" i="2"/>
  <c r="AA26" i="2"/>
  <c r="AA23" i="2"/>
  <c r="AB23" i="2"/>
  <c r="AB20" i="2"/>
  <c r="AA20" i="2"/>
  <c r="AA17" i="2"/>
  <c r="AB17" i="2"/>
  <c r="AA14" i="2"/>
  <c r="AB14" i="2"/>
  <c r="AA11" i="2"/>
  <c r="AA8" i="2"/>
  <c r="AB8" i="2"/>
  <c r="AA5" i="2"/>
  <c r="AB5" i="2"/>
</calcChain>
</file>

<file path=xl/sharedStrings.xml><?xml version="1.0" encoding="utf-8"?>
<sst xmlns="http://schemas.openxmlformats.org/spreadsheetml/2006/main" count="261" uniqueCount="87">
  <si>
    <t>NP</t>
  </si>
  <si>
    <t>NP</t>
    <phoneticPr fontId="1" type="noConversion"/>
  </si>
  <si>
    <t>NP弱</t>
    <phoneticPr fontId="1" type="noConversion"/>
  </si>
  <si>
    <t>PJM弱</t>
    <phoneticPr fontId="1" type="noConversion"/>
  </si>
  <si>
    <t>BE强</t>
    <phoneticPr fontId="1" type="noConversion"/>
  </si>
  <si>
    <t>Models</t>
  </si>
  <si>
    <t>PatchTST</t>
    <phoneticPr fontId="1" type="noConversion"/>
  </si>
  <si>
    <t>MSE</t>
  </si>
  <si>
    <t>MAE</t>
  </si>
  <si>
    <r>
      <rPr>
        <sz val="10.5"/>
        <color theme="1"/>
        <rFont val="Times New Roman"/>
        <family val="1"/>
      </rPr>
      <t>MSE</t>
    </r>
    <r>
      <rPr>
        <sz val="10.5"/>
        <color theme="1"/>
        <rFont val="等线"/>
        <family val="3"/>
        <charset val="134"/>
      </rPr>
      <t>二小</t>
    </r>
  </si>
  <si>
    <r>
      <rPr>
        <sz val="10.5"/>
        <color theme="1"/>
        <rFont val="Times New Roman"/>
        <family val="1"/>
      </rPr>
      <t>MAE</t>
    </r>
    <r>
      <rPr>
        <sz val="10.5"/>
        <color theme="1"/>
        <rFont val="等线"/>
        <family val="3"/>
        <charset val="134"/>
      </rPr>
      <t>二小</t>
    </r>
  </si>
  <si>
    <t>Avg</t>
  </si>
  <si>
    <t>FR平</t>
    <phoneticPr fontId="1" type="noConversion"/>
  </si>
  <si>
    <t>DE弱</t>
    <phoneticPr fontId="1" type="noConversion"/>
  </si>
  <si>
    <t>Energy平</t>
    <phoneticPr fontId="1" type="noConversion"/>
  </si>
  <si>
    <t>m1弱</t>
    <phoneticPr fontId="1" type="noConversion"/>
  </si>
  <si>
    <t>m2弱</t>
    <phoneticPr fontId="1" type="noConversion"/>
  </si>
  <si>
    <t>PJM</t>
  </si>
  <si>
    <t>FR</t>
  </si>
  <si>
    <t>DE</t>
  </si>
  <si>
    <t>Ours</t>
    <phoneticPr fontId="1" type="noConversion"/>
  </si>
  <si>
    <t>DAG</t>
    <phoneticPr fontId="1" type="noConversion"/>
  </si>
  <si>
    <t>TimeXer</t>
    <phoneticPr fontId="1" type="noConversion"/>
  </si>
  <si>
    <t>TFT</t>
    <phoneticPr fontId="1" type="noConversion"/>
  </si>
  <si>
    <t>TiDE</t>
    <phoneticPr fontId="1" type="noConversion"/>
  </si>
  <si>
    <t>DUET</t>
    <phoneticPr fontId="1" type="noConversion"/>
  </si>
  <si>
    <t>CrossLinear</t>
    <phoneticPr fontId="1" type="noConversion"/>
  </si>
  <si>
    <t>Amplifier</t>
    <phoneticPr fontId="1" type="noConversion"/>
  </si>
  <si>
    <t>TimeKAN</t>
    <phoneticPr fontId="1" type="noConversion"/>
  </si>
  <si>
    <t>Dlinear</t>
    <phoneticPr fontId="1" type="noConversion"/>
  </si>
  <si>
    <t>PJM</t>
    <phoneticPr fontId="1" type="noConversion"/>
  </si>
  <si>
    <t>BE</t>
    <phoneticPr fontId="1" type="noConversion"/>
  </si>
  <si>
    <t>FR</t>
    <phoneticPr fontId="1" type="noConversion"/>
  </si>
  <si>
    <t>DE</t>
    <phoneticPr fontId="1" type="noConversion"/>
  </si>
  <si>
    <t>Energy</t>
    <phoneticPr fontId="1" type="noConversion"/>
  </si>
  <si>
    <t>Sdwpfm1</t>
    <phoneticPr fontId="1" type="noConversion"/>
  </si>
  <si>
    <t>Sdwpfm2</t>
    <phoneticPr fontId="1" type="noConversion"/>
  </si>
  <si>
    <t>Sdwpfh1</t>
    <phoneticPr fontId="1" type="noConversion"/>
  </si>
  <si>
    <t>Sdwpfh2</t>
    <phoneticPr fontId="1" type="noConversion"/>
  </si>
  <si>
    <t>Colbun</t>
    <phoneticPr fontId="1" type="noConversion"/>
  </si>
  <si>
    <t>Rapel</t>
    <phoneticPr fontId="1" type="noConversion"/>
  </si>
  <si>
    <r>
      <t>1</t>
    </r>
    <r>
      <rPr>
        <vertAlign val="superscript"/>
        <sz val="11"/>
        <color theme="1"/>
        <rFont val="Times New Roman"/>
        <family val="1"/>
      </rPr>
      <t>st</t>
    </r>
    <r>
      <rPr>
        <sz val="11"/>
        <color theme="1"/>
        <rFont val="Times New Roman"/>
        <family val="1"/>
      </rPr>
      <t xml:space="preserve"> Count</t>
    </r>
    <phoneticPr fontId="1" type="noConversion"/>
  </si>
  <si>
    <t xml:space="preserve"> GCGNet</t>
    <phoneticPr fontId="1" type="noConversion"/>
  </si>
  <si>
    <t>数据集 (Models)</t>
  </si>
  <si>
    <t>预测长度/指标</t>
  </si>
  <si>
    <t>GCGNet (mse)</t>
  </si>
  <si>
    <t>GCGNet (mae)</t>
  </si>
  <si>
    <t>BE</t>
  </si>
  <si>
    <t>Energy</t>
  </si>
  <si>
    <t>Sdwpfm1</t>
  </si>
  <si>
    <t>Sdwpfm2</t>
  </si>
  <si>
    <t>Sdwpfh1</t>
  </si>
  <si>
    <t>Sdwpfh2</t>
  </si>
  <si>
    <t>Colbun</t>
  </si>
  <si>
    <t>Rapel</t>
  </si>
  <si>
    <t>---</t>
  </si>
  <si>
    <t>1st Count</t>
  </si>
  <si>
    <t>Metrics</t>
    <phoneticPr fontId="1" type="noConversion"/>
  </si>
  <si>
    <t>Datasets</t>
  </si>
  <si>
    <t>Metrics</t>
  </si>
  <si>
    <t>DAG (mse)</t>
  </si>
  <si>
    <t>DAG (mae)</t>
  </si>
  <si>
    <t>TimeXer (mse)</t>
  </si>
  <si>
    <t>TimeXer (mae)</t>
  </si>
  <si>
    <t>TFT (mse)</t>
  </si>
  <si>
    <t>TFT (mae)</t>
  </si>
  <si>
    <t>TiDE (mse)</t>
  </si>
  <si>
    <t>TiDE (mae)</t>
  </si>
  <si>
    <t>DUET (mse)</t>
  </si>
  <si>
    <t>DUET (mae)</t>
  </si>
  <si>
    <t>CrossLinear (mse)</t>
  </si>
  <si>
    <t>CrossLinear (mae)</t>
  </si>
  <si>
    <t>Amplifier (mse)</t>
  </si>
  <si>
    <t>Amplifier (mae)</t>
  </si>
  <si>
    <t>TimeKAN (mse)</t>
  </si>
  <si>
    <t>TimeKAN (mae)</t>
  </si>
  <si>
    <t>PatchTST (mse)</t>
  </si>
  <si>
    <t>PatchTST (mae)</t>
  </si>
  <si>
    <t>DLinear (mse)</t>
  </si>
  <si>
    <t>DLinear (mae)</t>
  </si>
  <si>
    <t>Models</t>
    <phoneticPr fontId="1" type="noConversion"/>
  </si>
  <si>
    <t>GCGNet</t>
    <phoneticPr fontId="1" type="noConversion"/>
  </si>
  <si>
    <t>Parameters(M)</t>
    <phoneticPr fontId="1" type="noConversion"/>
  </si>
  <si>
    <t xml:space="preserve">Training Step Time (ms) </t>
    <phoneticPr fontId="1" type="noConversion"/>
  </si>
  <si>
    <t>Inference Step Time (ms)</t>
    <phoneticPr fontId="1" type="noConversion"/>
  </si>
  <si>
    <t xml:space="preserve">Peak GPU Memory (MB) </t>
    <phoneticPr fontId="1" type="noConversion"/>
  </si>
  <si>
    <t>NP_360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</si>
</sst>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等线"/>
      <family val="3"/>
      <charset val="134"/>
    </font>
    <font>
      <sz val="10.5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u/>
      <sz val="11"/>
      <color rgb="FF3818D8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0" fillId="0" borderId="0" xfId="0" applyNumberFormat="1" applyAlignment="1"/>
    <xf numFmtId="0" fontId="3" fillId="0" borderId="8" xfId="0" applyFont="1" applyBorder="1" applyAlignment="1">
      <alignment horizontal="center" vertical="center" wrapText="1"/>
    </xf>
    <xf numFmtId="176" fontId="6" fillId="0" borderId="9" xfId="0" applyNumberFormat="1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 wrapText="1"/>
    </xf>
    <xf numFmtId="176" fontId="6" fillId="0" borderId="13" xfId="0" applyNumberFormat="1" applyFont="1" applyBorder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12" fillId="0" borderId="15" xfId="0" applyFont="1" applyBorder="1" applyAlignment="1">
      <alignment vertical="center" wrapText="1" readingOrder="1"/>
    </xf>
    <xf numFmtId="0" fontId="11" fillId="0" borderId="15" xfId="0" applyFont="1" applyBorder="1" applyAlignment="1">
      <alignment vertical="center" wrapText="1" readingOrder="1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3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12">
    <dxf>
      <font>
        <b/>
        <i val="0"/>
        <u val="none"/>
        <color rgb="FFFF0000"/>
      </font>
    </dxf>
    <dxf>
      <font>
        <u/>
        <color rgb="FF3818D8"/>
      </font>
    </dxf>
    <dxf>
      <font>
        <b/>
        <i val="0"/>
        <color rgb="FFFF0000"/>
      </font>
    </dxf>
    <dxf>
      <font>
        <u/>
        <color rgb="FF3818D8"/>
      </font>
    </dxf>
    <dxf>
      <font>
        <b/>
        <i val="0"/>
        <u val="none"/>
        <color rgb="FFFF0000"/>
      </font>
    </dxf>
    <dxf>
      <font>
        <u/>
        <color rgb="FF3818D8"/>
      </font>
    </dxf>
    <dxf>
      <font>
        <b/>
        <i val="0"/>
        <color rgb="FFFF0000"/>
      </font>
    </dxf>
    <dxf>
      <font>
        <u/>
        <color rgb="FF3818D8"/>
      </font>
    </dxf>
    <dxf>
      <font>
        <b/>
        <i val="0"/>
        <u val="none"/>
        <color rgb="FFFF0000"/>
      </font>
    </dxf>
    <dxf>
      <font>
        <u/>
        <color rgb="FF3818D8"/>
      </font>
    </dxf>
    <dxf>
      <font>
        <b/>
        <i val="0"/>
        <color rgb="FFFF0000"/>
      </font>
    </dxf>
    <dxf>
      <font>
        <u/>
        <color rgb="FF3818D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C9" sqref="C9"/>
    </sheetView>
  </sheetViews>
  <sheetFormatPr defaultColWidth="9" defaultRowHeight="14" x14ac:dyDescent="0.25"/>
  <sheetData>
    <row r="1" spans="1:1" x14ac:dyDescent="0.25">
      <c r="A1" s="1" t="s">
        <v>2</v>
      </c>
    </row>
    <row r="2" spans="1:1" x14ac:dyDescent="0.25">
      <c r="A2" s="1" t="s">
        <v>3</v>
      </c>
    </row>
    <row r="3" spans="1:1" x14ac:dyDescent="0.25">
      <c r="A3" s="1" t="s">
        <v>4</v>
      </c>
    </row>
    <row r="4" spans="1:1" x14ac:dyDescent="0.25">
      <c r="A4" s="1" t="s">
        <v>12</v>
      </c>
    </row>
    <row r="5" spans="1:1" x14ac:dyDescent="0.25">
      <c r="A5" s="1" t="s">
        <v>13</v>
      </c>
    </row>
    <row r="6" spans="1:1" x14ac:dyDescent="0.25">
      <c r="A6" s="1" t="s">
        <v>14</v>
      </c>
    </row>
    <row r="7" spans="1:1" x14ac:dyDescent="0.25">
      <c r="A7" s="1" t="s">
        <v>15</v>
      </c>
    </row>
    <row r="8" spans="1:1" x14ac:dyDescent="0.25">
      <c r="A8" s="1" t="s">
        <v>16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9"/>
  <sheetViews>
    <sheetView zoomScale="70" zoomScaleNormal="70" workbookViewId="0">
      <selection activeCell="R37" sqref="R37"/>
    </sheetView>
  </sheetViews>
  <sheetFormatPr defaultColWidth="9" defaultRowHeight="14" x14ac:dyDescent="0.25"/>
  <cols>
    <col min="1" max="1" width="4.08984375" customWidth="1"/>
    <col min="2" max="2" width="6.7265625" customWidth="1"/>
    <col min="4" max="4" width="9.1796875" bestFit="1" customWidth="1"/>
  </cols>
  <sheetData>
    <row r="1" spans="1:28" ht="14.5" customHeight="1" thickBot="1" x14ac:dyDescent="0.3">
      <c r="A1" s="34" t="s">
        <v>5</v>
      </c>
      <c r="B1" s="34"/>
      <c r="C1" s="35" t="s">
        <v>20</v>
      </c>
      <c r="D1" s="35"/>
      <c r="E1" s="26" t="s">
        <v>21</v>
      </c>
      <c r="F1" s="26"/>
      <c r="G1" s="26" t="s">
        <v>42</v>
      </c>
      <c r="H1" s="26"/>
      <c r="I1" s="26" t="s">
        <v>22</v>
      </c>
      <c r="J1" s="26"/>
      <c r="K1" s="26" t="s">
        <v>23</v>
      </c>
      <c r="L1" s="26"/>
      <c r="M1" s="26" t="s">
        <v>24</v>
      </c>
      <c r="N1" s="26"/>
      <c r="O1" s="26" t="s">
        <v>25</v>
      </c>
      <c r="P1" s="26"/>
      <c r="Q1" s="26" t="s">
        <v>26</v>
      </c>
      <c r="R1" s="26"/>
      <c r="S1" s="26" t="s">
        <v>27</v>
      </c>
      <c r="T1" s="26"/>
      <c r="U1" s="26" t="s">
        <v>28</v>
      </c>
      <c r="V1" s="26"/>
      <c r="W1" s="26" t="s">
        <v>6</v>
      </c>
      <c r="X1" s="26"/>
      <c r="Y1" s="26" t="s">
        <v>29</v>
      </c>
      <c r="Z1" s="26"/>
      <c r="AA1" s="3"/>
      <c r="AB1" s="3"/>
    </row>
    <row r="2" spans="1:28" ht="14.5" thickBot="1" x14ac:dyDescent="0.3">
      <c r="A2" s="33" t="s">
        <v>57</v>
      </c>
      <c r="B2" s="33"/>
      <c r="C2" s="5" t="s">
        <v>7</v>
      </c>
      <c r="D2" s="2" t="s">
        <v>8</v>
      </c>
      <c r="E2" s="4" t="s">
        <v>7</v>
      </c>
      <c r="F2" s="4" t="s">
        <v>8</v>
      </c>
      <c r="G2" s="4" t="s">
        <v>7</v>
      </c>
      <c r="H2" s="4" t="s">
        <v>8</v>
      </c>
      <c r="I2" s="4" t="s">
        <v>7</v>
      </c>
      <c r="J2" s="4" t="s">
        <v>8</v>
      </c>
      <c r="K2" s="4" t="s">
        <v>7</v>
      </c>
      <c r="L2" s="4" t="s">
        <v>8</v>
      </c>
      <c r="M2" s="4" t="s">
        <v>7</v>
      </c>
      <c r="N2" s="4" t="s">
        <v>8</v>
      </c>
      <c r="O2" s="4" t="s">
        <v>7</v>
      </c>
      <c r="P2" s="4" t="s">
        <v>8</v>
      </c>
      <c r="Q2" s="4" t="s">
        <v>7</v>
      </c>
      <c r="R2" s="4" t="s">
        <v>8</v>
      </c>
      <c r="S2" s="4" t="s">
        <v>7</v>
      </c>
      <c r="T2" s="4" t="s">
        <v>8</v>
      </c>
      <c r="U2" s="4" t="s">
        <v>7</v>
      </c>
      <c r="V2" s="4" t="s">
        <v>8</v>
      </c>
      <c r="W2" s="4" t="s">
        <v>7</v>
      </c>
      <c r="X2" s="4" t="s">
        <v>8</v>
      </c>
      <c r="Y2" s="4" t="s">
        <v>7</v>
      </c>
      <c r="Z2" s="4" t="s">
        <v>8</v>
      </c>
      <c r="AA2" s="6" t="s">
        <v>9</v>
      </c>
      <c r="AB2" s="6" t="s">
        <v>10</v>
      </c>
    </row>
    <row r="3" spans="1:28" ht="15" customHeight="1" x14ac:dyDescent="0.25">
      <c r="A3" s="27" t="s">
        <v>1</v>
      </c>
      <c r="B3" s="7">
        <v>24</v>
      </c>
      <c r="C3" s="8">
        <v>0.18440000000000001</v>
      </c>
      <c r="D3" s="9">
        <v>0.219</v>
      </c>
      <c r="E3" s="8">
        <v>0.20200000000000001</v>
      </c>
      <c r="F3" s="9">
        <v>0.23400000000000001</v>
      </c>
      <c r="G3" s="8">
        <v>0.20699999999999999</v>
      </c>
      <c r="H3" s="9">
        <v>0.23599999999999999</v>
      </c>
      <c r="I3" s="8">
        <v>0.23400000000000001</v>
      </c>
      <c r="J3" s="9">
        <v>0.26500000000000001</v>
      </c>
      <c r="K3" s="8">
        <v>0.218</v>
      </c>
      <c r="L3" s="9">
        <v>0.249</v>
      </c>
      <c r="M3" s="8">
        <v>0.27200000000000002</v>
      </c>
      <c r="N3" s="9">
        <v>0.29499999999999998</v>
      </c>
      <c r="O3" s="8">
        <v>0.246</v>
      </c>
      <c r="P3" s="9">
        <v>0.28699999999999998</v>
      </c>
      <c r="Q3" s="8">
        <v>0.21</v>
      </c>
      <c r="R3" s="9">
        <v>0.26600000000000001</v>
      </c>
      <c r="S3" s="8">
        <v>0.252</v>
      </c>
      <c r="T3" s="9">
        <v>0.30299999999999999</v>
      </c>
      <c r="U3" s="8">
        <v>0.27300000000000002</v>
      </c>
      <c r="V3" s="9">
        <v>0.31</v>
      </c>
      <c r="W3" s="8">
        <v>0.249</v>
      </c>
      <c r="X3" s="9">
        <v>0.29399999999999998</v>
      </c>
      <c r="Y3" s="8">
        <v>0.28199999999999997</v>
      </c>
      <c r="Z3" s="10">
        <v>0.33700000000000002</v>
      </c>
      <c r="AA3" s="11">
        <f>SMALL((C3,E3,G3,I3,K3,M3,O3,Q3,S3,U3,W3,Y3),2)</f>
        <v>0.20200000000000001</v>
      </c>
      <c r="AB3" s="11">
        <f>SMALL((D3,F3,H3,J3,L3,N3,P3,R3,T3,V3,X3,Z3),2)</f>
        <v>0.23400000000000001</v>
      </c>
    </row>
    <row r="4" spans="1:28" ht="15" customHeight="1" x14ac:dyDescent="0.25">
      <c r="A4" s="28"/>
      <c r="B4" s="12">
        <v>360</v>
      </c>
      <c r="C4" s="13">
        <v>0.49</v>
      </c>
      <c r="D4" s="14">
        <v>0.442</v>
      </c>
      <c r="E4" s="13">
        <v>0.51900000000000002</v>
      </c>
      <c r="F4" s="14">
        <v>0.45</v>
      </c>
      <c r="G4" s="13">
        <v>0.52800000000000002</v>
      </c>
      <c r="H4" s="14">
        <v>0.45700000000000002</v>
      </c>
      <c r="I4" s="13">
        <v>0.59399999999999997</v>
      </c>
      <c r="J4" s="14">
        <v>0.47199999999999998</v>
      </c>
      <c r="K4" s="13">
        <v>0.53500000000000003</v>
      </c>
      <c r="L4" s="14">
        <v>0.502</v>
      </c>
      <c r="M4" s="13">
        <v>0.59699999999999998</v>
      </c>
      <c r="N4" s="14">
        <v>0.50600000000000001</v>
      </c>
      <c r="O4" s="13">
        <v>0.57599999999999996</v>
      </c>
      <c r="P4" s="14">
        <v>0.52800000000000002</v>
      </c>
      <c r="Q4" s="13">
        <v>0.52900000000000003</v>
      </c>
      <c r="R4" s="14">
        <v>0.50800000000000001</v>
      </c>
      <c r="S4" s="13">
        <v>0.58599999999999997</v>
      </c>
      <c r="T4" s="14">
        <v>0.53400000000000003</v>
      </c>
      <c r="U4" s="13">
        <v>0.53800000000000003</v>
      </c>
      <c r="V4" s="14">
        <v>0.52900000000000003</v>
      </c>
      <c r="W4" s="13">
        <v>0.53</v>
      </c>
      <c r="X4" s="14">
        <v>0.498</v>
      </c>
      <c r="Y4" s="13">
        <v>0.60099999999999998</v>
      </c>
      <c r="Z4" s="18">
        <v>0.55200000000000005</v>
      </c>
      <c r="AA4" s="11">
        <f>SMALL((C4,E4,G4,I4,K4,M4,O4,Q4,S4,U4,W4,Y4),2)</f>
        <v>0.51900000000000002</v>
      </c>
      <c r="AB4" s="11">
        <f>SMALL((D4,F4,H4,J4,L4,N4,P4,R4,T4,V4,X4,Z4),2)</f>
        <v>0.45</v>
      </c>
    </row>
    <row r="5" spans="1:28" ht="15" customHeight="1" thickBot="1" x14ac:dyDescent="0.3">
      <c r="A5" s="29"/>
      <c r="B5" s="15" t="s">
        <v>11</v>
      </c>
      <c r="C5" s="16">
        <f t="shared" ref="C5:H5" si="0">ROUND(AVERAGE(C3:C4),4)</f>
        <v>0.3372</v>
      </c>
      <c r="D5" s="17">
        <f t="shared" si="0"/>
        <v>0.33050000000000002</v>
      </c>
      <c r="E5" s="16">
        <f t="shared" si="0"/>
        <v>0.36049999999999999</v>
      </c>
      <c r="F5" s="17">
        <f t="shared" si="0"/>
        <v>0.34200000000000003</v>
      </c>
      <c r="G5" s="16">
        <f t="shared" si="0"/>
        <v>0.36749999999999999</v>
      </c>
      <c r="H5" s="17">
        <f t="shared" si="0"/>
        <v>0.34649999999999997</v>
      </c>
      <c r="I5" s="16">
        <f t="shared" ref="I5:Z5" si="1">ROUND(AVERAGE(I3:I4),4)</f>
        <v>0.41399999999999998</v>
      </c>
      <c r="J5" s="17">
        <f t="shared" si="1"/>
        <v>0.36849999999999999</v>
      </c>
      <c r="K5" s="16">
        <f t="shared" si="1"/>
        <v>0.3765</v>
      </c>
      <c r="L5" s="17">
        <f t="shared" si="1"/>
        <v>0.3755</v>
      </c>
      <c r="M5" s="16">
        <f t="shared" si="1"/>
        <v>0.4345</v>
      </c>
      <c r="N5" s="17">
        <f t="shared" si="1"/>
        <v>0.40050000000000002</v>
      </c>
      <c r="O5" s="16">
        <f t="shared" si="1"/>
        <v>0.41099999999999998</v>
      </c>
      <c r="P5" s="17">
        <f t="shared" si="1"/>
        <v>0.40749999999999997</v>
      </c>
      <c r="Q5" s="16">
        <f t="shared" si="1"/>
        <v>0.3695</v>
      </c>
      <c r="R5" s="17">
        <f t="shared" si="1"/>
        <v>0.38700000000000001</v>
      </c>
      <c r="S5" s="16">
        <f t="shared" si="1"/>
        <v>0.41899999999999998</v>
      </c>
      <c r="T5" s="17">
        <f t="shared" si="1"/>
        <v>0.41849999999999998</v>
      </c>
      <c r="U5" s="16">
        <f t="shared" si="1"/>
        <v>0.40550000000000003</v>
      </c>
      <c r="V5" s="17">
        <f t="shared" si="1"/>
        <v>0.41949999999999998</v>
      </c>
      <c r="W5" s="16">
        <f t="shared" si="1"/>
        <v>0.38950000000000001</v>
      </c>
      <c r="X5" s="17">
        <f t="shared" si="1"/>
        <v>0.39600000000000002</v>
      </c>
      <c r="Y5" s="16">
        <f t="shared" si="1"/>
        <v>0.4415</v>
      </c>
      <c r="Z5" s="17">
        <f t="shared" si="1"/>
        <v>0.44450000000000001</v>
      </c>
      <c r="AA5" s="11">
        <f>SMALL((C5,E5,G5,I5,K5,M5,O5,Q5,S5,U5,W5,Y5),2)</f>
        <v>0.36049999999999999</v>
      </c>
      <c r="AB5" s="11">
        <f>SMALL((D5,F5,H5,J5,L5,N5,P5,R5,T5,V5,X5,Z5),2)</f>
        <v>0.34200000000000003</v>
      </c>
    </row>
    <row r="6" spans="1:28" ht="15" customHeight="1" x14ac:dyDescent="0.25">
      <c r="A6" s="27" t="s">
        <v>30</v>
      </c>
      <c r="B6" s="7">
        <v>24</v>
      </c>
      <c r="C6" s="8">
        <v>5.6000000000000001E-2</v>
      </c>
      <c r="D6" s="9">
        <v>0.14419999999999999</v>
      </c>
      <c r="E6" s="8">
        <v>5.7000000000000002E-2</v>
      </c>
      <c r="F6" s="9">
        <v>0.14299999999999999</v>
      </c>
      <c r="G6" s="8">
        <v>5.8999999999999997E-2</v>
      </c>
      <c r="H6" s="9">
        <v>0.15</v>
      </c>
      <c r="I6" s="8">
        <v>7.5499999999999998E-2</v>
      </c>
      <c r="J6" s="9">
        <v>0.16600000000000001</v>
      </c>
      <c r="K6" s="8">
        <v>9.1999999999999998E-2</v>
      </c>
      <c r="L6" s="9">
        <v>0.185</v>
      </c>
      <c r="M6" s="8">
        <v>0.106</v>
      </c>
      <c r="N6" s="9">
        <v>0.214</v>
      </c>
      <c r="O6" s="8">
        <v>7.2999999999999995E-2</v>
      </c>
      <c r="P6" s="9">
        <v>0.16700000000000001</v>
      </c>
      <c r="Q6" s="8">
        <v>8.7999999999999995E-2</v>
      </c>
      <c r="R6" s="9">
        <v>0.191</v>
      </c>
      <c r="S6" s="8">
        <v>9.7000000000000003E-2</v>
      </c>
      <c r="T6" s="9">
        <v>0.20599999999999999</v>
      </c>
      <c r="U6" s="8">
        <v>0.115</v>
      </c>
      <c r="V6" s="9">
        <v>0.24399999999999999</v>
      </c>
      <c r="W6" s="8">
        <v>0.11600000000000001</v>
      </c>
      <c r="X6" s="9">
        <v>0.23899999999999999</v>
      </c>
      <c r="Y6" s="8">
        <v>9.6000000000000002E-2</v>
      </c>
      <c r="Z6" s="10">
        <v>0.20799999999999999</v>
      </c>
      <c r="AA6" s="11">
        <f>SMALL((C6,E6,G6,I6,K6,M6,O6,Q6,S6,U6,W6,Y6),2)</f>
        <v>5.7000000000000002E-2</v>
      </c>
      <c r="AB6" s="11">
        <f>SMALL((D6,F6,H6,J6,L6,N6,P6,R6,T6,V6,X6,Z6),2)</f>
        <v>0.14419999999999999</v>
      </c>
    </row>
    <row r="7" spans="1:28" ht="15" customHeight="1" x14ac:dyDescent="0.25">
      <c r="A7" s="28"/>
      <c r="B7" s="12">
        <v>360</v>
      </c>
      <c r="C7" s="13">
        <v>0.121</v>
      </c>
      <c r="D7" s="14">
        <v>0.21</v>
      </c>
      <c r="E7" s="13">
        <v>0.129</v>
      </c>
      <c r="F7" s="14">
        <v>0.217</v>
      </c>
      <c r="G7" s="13">
        <v>0.126</v>
      </c>
      <c r="H7" s="14">
        <v>0.222</v>
      </c>
      <c r="I7" s="13">
        <v>0.14000000000000001</v>
      </c>
      <c r="J7" s="14">
        <v>0.22800000000000001</v>
      </c>
      <c r="K7" s="13">
        <v>0.13300000000000001</v>
      </c>
      <c r="L7" s="14">
        <v>0.219</v>
      </c>
      <c r="M7" s="13">
        <v>0.17499999999999999</v>
      </c>
      <c r="N7" s="14">
        <v>0.27400000000000002</v>
      </c>
      <c r="O7" s="13">
        <v>0.129</v>
      </c>
      <c r="P7" s="14">
        <v>0.22600000000000001</v>
      </c>
      <c r="Q7" s="13">
        <v>0.13500000000000001</v>
      </c>
      <c r="R7" s="14">
        <v>0.254</v>
      </c>
      <c r="S7" s="13">
        <v>0.17</v>
      </c>
      <c r="T7" s="14">
        <v>0.27900000000000003</v>
      </c>
      <c r="U7" s="13">
        <v>0.16200000000000001</v>
      </c>
      <c r="V7" s="14">
        <v>0.28000000000000003</v>
      </c>
      <c r="W7" s="13">
        <v>0.14899999999999999</v>
      </c>
      <c r="X7" s="14">
        <v>0.27900000000000003</v>
      </c>
      <c r="Y7" s="13">
        <v>0.16400000000000001</v>
      </c>
      <c r="Z7" s="18">
        <v>0.27800000000000002</v>
      </c>
      <c r="AA7" s="11">
        <f>SMALL((C7,E7,G7,I7,K7,M7,O7,Q7,S7,U7,W7,Y7),2)</f>
        <v>0.126</v>
      </c>
      <c r="AB7" s="11">
        <f>SMALL((D7,F7,H7,J7,L7,N7,P7,R7,T7,V7,X7,Z7),2)</f>
        <v>0.217</v>
      </c>
    </row>
    <row r="8" spans="1:28" ht="15" customHeight="1" thickBot="1" x14ac:dyDescent="0.3">
      <c r="A8" s="29"/>
      <c r="B8" s="15" t="s">
        <v>11</v>
      </c>
      <c r="C8" s="16">
        <f t="shared" ref="C8:H8" si="2">ROUND(AVERAGE(C6:C7),4)</f>
        <v>8.8499999999999995E-2</v>
      </c>
      <c r="D8" s="17">
        <f t="shared" si="2"/>
        <v>0.17710000000000001</v>
      </c>
      <c r="E8" s="16">
        <f t="shared" si="2"/>
        <v>9.2999999999999999E-2</v>
      </c>
      <c r="F8" s="17">
        <f t="shared" si="2"/>
        <v>0.18</v>
      </c>
      <c r="G8" s="16">
        <f t="shared" si="2"/>
        <v>9.2499999999999999E-2</v>
      </c>
      <c r="H8" s="17">
        <f t="shared" si="2"/>
        <v>0.186</v>
      </c>
      <c r="I8" s="16">
        <f t="shared" ref="I8:Z8" si="3">ROUND(AVERAGE(I6:I7),4)</f>
        <v>0.10780000000000001</v>
      </c>
      <c r="J8" s="17">
        <f t="shared" si="3"/>
        <v>0.19700000000000001</v>
      </c>
      <c r="K8" s="16">
        <f t="shared" si="3"/>
        <v>0.1125</v>
      </c>
      <c r="L8" s="17">
        <f t="shared" si="3"/>
        <v>0.20200000000000001</v>
      </c>
      <c r="M8" s="16">
        <f t="shared" si="3"/>
        <v>0.14050000000000001</v>
      </c>
      <c r="N8" s="17">
        <f t="shared" si="3"/>
        <v>0.24399999999999999</v>
      </c>
      <c r="O8" s="16">
        <f t="shared" si="3"/>
        <v>0.10100000000000001</v>
      </c>
      <c r="P8" s="17">
        <f t="shared" si="3"/>
        <v>0.19650000000000001</v>
      </c>
      <c r="Q8" s="16">
        <f t="shared" si="3"/>
        <v>0.1115</v>
      </c>
      <c r="R8" s="17">
        <f t="shared" si="3"/>
        <v>0.2225</v>
      </c>
      <c r="S8" s="16">
        <f t="shared" si="3"/>
        <v>0.13350000000000001</v>
      </c>
      <c r="T8" s="17">
        <f t="shared" si="3"/>
        <v>0.24249999999999999</v>
      </c>
      <c r="U8" s="16">
        <f t="shared" si="3"/>
        <v>0.13850000000000001</v>
      </c>
      <c r="V8" s="17">
        <f t="shared" si="3"/>
        <v>0.26200000000000001</v>
      </c>
      <c r="W8" s="16">
        <f t="shared" si="3"/>
        <v>0.13250000000000001</v>
      </c>
      <c r="X8" s="17">
        <f t="shared" si="3"/>
        <v>0.25900000000000001</v>
      </c>
      <c r="Y8" s="16">
        <f t="shared" si="3"/>
        <v>0.13</v>
      </c>
      <c r="Z8" s="17">
        <f t="shared" si="3"/>
        <v>0.24299999999999999</v>
      </c>
      <c r="AA8" s="11">
        <f>SMALL((C8,E8,G8,I8,K8,M8,O8,Q8,S8,U8,W8,Y8),2)</f>
        <v>9.2499999999999999E-2</v>
      </c>
      <c r="AB8" s="11">
        <f>SMALL((D8,F8,H8,J8,L8,N8,P8,R8,T8,V8,X8,Z8),2)</f>
        <v>0.18</v>
      </c>
    </row>
    <row r="9" spans="1:28" ht="15" customHeight="1" x14ac:dyDescent="0.25">
      <c r="A9" s="27" t="s">
        <v>31</v>
      </c>
      <c r="B9" s="7">
        <v>24</v>
      </c>
      <c r="C9" s="8">
        <v>0.34510000000000002</v>
      </c>
      <c r="D9" s="9">
        <v>0.22750000000000001</v>
      </c>
      <c r="E9" s="8">
        <v>0.36099999999999999</v>
      </c>
      <c r="F9" s="9">
        <v>0.22900000000000001</v>
      </c>
      <c r="G9" s="8">
        <v>0.35</v>
      </c>
      <c r="H9" s="9">
        <v>0.248</v>
      </c>
      <c r="I9" s="8">
        <v>0.39200000000000002</v>
      </c>
      <c r="J9" s="9">
        <v>0.251</v>
      </c>
      <c r="K9" s="8">
        <v>0.41</v>
      </c>
      <c r="L9" s="9">
        <v>0.25600000000000001</v>
      </c>
      <c r="M9" s="8">
        <v>0.42899999999999999</v>
      </c>
      <c r="N9" s="9">
        <v>0.28699999999999998</v>
      </c>
      <c r="O9" s="8">
        <v>0.434</v>
      </c>
      <c r="P9" s="9">
        <v>0.27300000000000002</v>
      </c>
      <c r="Q9" s="8">
        <v>0.39300000000000002</v>
      </c>
      <c r="R9" s="9">
        <v>0.25900000000000001</v>
      </c>
      <c r="S9" s="8">
        <v>0.45300000000000001</v>
      </c>
      <c r="T9" s="9">
        <v>0.32800000000000001</v>
      </c>
      <c r="U9" s="8">
        <v>0.45100000000000001</v>
      </c>
      <c r="V9" s="9">
        <v>0.31900000000000001</v>
      </c>
      <c r="W9" s="8">
        <v>0.45200000000000001</v>
      </c>
      <c r="X9" s="9">
        <v>0.32600000000000001</v>
      </c>
      <c r="Y9" s="8">
        <v>0.45100000000000001</v>
      </c>
      <c r="Z9" s="10">
        <v>0.31</v>
      </c>
      <c r="AA9" s="11">
        <f>SMALL((C9,E9,G9,I9,K9,M9,O9,Q9,S9,U9,W9,Y9),2)</f>
        <v>0.35</v>
      </c>
      <c r="AB9" s="11">
        <f>SMALL((D9,F9,H9,J9,L9,N9,P9,R9,T9,V9,X9,Z9),2)</f>
        <v>0.22900000000000001</v>
      </c>
    </row>
    <row r="10" spans="1:28" ht="15" customHeight="1" x14ac:dyDescent="0.25">
      <c r="A10" s="28"/>
      <c r="B10" s="12">
        <v>360</v>
      </c>
      <c r="C10" s="13">
        <v>0.48459999999999998</v>
      </c>
      <c r="D10" s="14">
        <v>0.31759999999999999</v>
      </c>
      <c r="E10" s="13">
        <v>0.48399999999999999</v>
      </c>
      <c r="F10" s="14">
        <v>0.32900000000000001</v>
      </c>
      <c r="G10" s="13">
        <v>0.50800000000000001</v>
      </c>
      <c r="H10" s="14">
        <v>0.33700000000000002</v>
      </c>
      <c r="I10" s="13">
        <v>0.51100000000000001</v>
      </c>
      <c r="J10" s="14">
        <v>0.32800000000000001</v>
      </c>
      <c r="K10" s="13">
        <v>0.48299999999999998</v>
      </c>
      <c r="L10" s="14">
        <v>0.31</v>
      </c>
      <c r="M10" s="13">
        <v>0.56499999999999995</v>
      </c>
      <c r="N10" s="14">
        <v>0.36199999999999999</v>
      </c>
      <c r="O10" s="13">
        <v>0.59699999999999998</v>
      </c>
      <c r="P10" s="14">
        <v>0.436</v>
      </c>
      <c r="Q10" s="13">
        <v>0.56699999999999995</v>
      </c>
      <c r="R10" s="14">
        <v>0.41699999999999998</v>
      </c>
      <c r="S10" s="13">
        <v>0.64800000000000002</v>
      </c>
      <c r="T10" s="14">
        <v>0.48899999999999999</v>
      </c>
      <c r="U10" s="13">
        <v>0.64500000000000002</v>
      </c>
      <c r="V10" s="14">
        <v>0.49399999999999999</v>
      </c>
      <c r="W10" s="13">
        <v>0.70199999999999996</v>
      </c>
      <c r="X10" s="14">
        <v>0.53800000000000003</v>
      </c>
      <c r="Y10" s="13">
        <v>0.6</v>
      </c>
      <c r="Z10" s="18">
        <v>0.442</v>
      </c>
      <c r="AA10" s="11">
        <f>SMALL((C10,E10,G10,I10,K10,M10,O10,Q10,S10,U10,W10,Y10),2)</f>
        <v>0.48399999999999999</v>
      </c>
      <c r="AB10" s="11">
        <f>SMALL((D10,F10,H10,J10,L10,N10,P10,R10,T10,V10,X10,Z10),2)</f>
        <v>0.31759999999999999</v>
      </c>
    </row>
    <row r="11" spans="1:28" ht="15" customHeight="1" thickBot="1" x14ac:dyDescent="0.3">
      <c r="A11" s="29"/>
      <c r="B11" s="15" t="s">
        <v>11</v>
      </c>
      <c r="C11" s="16">
        <f>ROUND(AVERAGE(C9:C10),4)</f>
        <v>0.41489999999999999</v>
      </c>
      <c r="D11" s="17">
        <f>ROUND(AVERAGE(D9:D10),4)</f>
        <v>0.27260000000000001</v>
      </c>
      <c r="E11" s="16">
        <f t="shared" ref="E11:H11" si="4">ROUND(AVERAGE(E9:E10),4)</f>
        <v>0.42249999999999999</v>
      </c>
      <c r="F11" s="17">
        <f t="shared" si="4"/>
        <v>0.27900000000000003</v>
      </c>
      <c r="G11" s="16">
        <f t="shared" si="4"/>
        <v>0.42899999999999999</v>
      </c>
      <c r="H11" s="17">
        <f t="shared" si="4"/>
        <v>0.29249999999999998</v>
      </c>
      <c r="I11" s="16">
        <f t="shared" ref="I11:Z11" si="5">ROUND(AVERAGE(I9:I10),4)</f>
        <v>0.45150000000000001</v>
      </c>
      <c r="J11" s="17">
        <f t="shared" si="5"/>
        <v>0.28949999999999998</v>
      </c>
      <c r="K11" s="16">
        <f t="shared" si="5"/>
        <v>0.44650000000000001</v>
      </c>
      <c r="L11" s="17">
        <f t="shared" si="5"/>
        <v>0.28299999999999997</v>
      </c>
      <c r="M11" s="16">
        <f t="shared" si="5"/>
        <v>0.497</v>
      </c>
      <c r="N11" s="17">
        <f t="shared" si="5"/>
        <v>0.32450000000000001</v>
      </c>
      <c r="O11" s="16">
        <f t="shared" si="5"/>
        <v>0.51549999999999996</v>
      </c>
      <c r="P11" s="17">
        <f t="shared" si="5"/>
        <v>0.35449999999999998</v>
      </c>
      <c r="Q11" s="16">
        <f t="shared" si="5"/>
        <v>0.48</v>
      </c>
      <c r="R11" s="17">
        <f t="shared" si="5"/>
        <v>0.33800000000000002</v>
      </c>
      <c r="S11" s="16">
        <f t="shared" si="5"/>
        <v>0.55049999999999999</v>
      </c>
      <c r="T11" s="17">
        <f t="shared" si="5"/>
        <v>0.40849999999999997</v>
      </c>
      <c r="U11" s="16">
        <f t="shared" si="5"/>
        <v>0.54800000000000004</v>
      </c>
      <c r="V11" s="17">
        <f t="shared" si="5"/>
        <v>0.40649999999999997</v>
      </c>
      <c r="W11" s="16">
        <f t="shared" si="5"/>
        <v>0.57699999999999996</v>
      </c>
      <c r="X11" s="17">
        <f t="shared" si="5"/>
        <v>0.432</v>
      </c>
      <c r="Y11" s="16">
        <f t="shared" si="5"/>
        <v>0.52549999999999997</v>
      </c>
      <c r="Z11" s="17">
        <f t="shared" si="5"/>
        <v>0.376</v>
      </c>
      <c r="AA11" s="11">
        <f>SMALL((C11,E11,G11,I11,K11,M11,O11,Q11,S11,U11,W11,Y11),2)</f>
        <v>0.42249999999999999</v>
      </c>
      <c r="AB11" s="11">
        <f>SMALL((D11,F11,H11,J11,L11,N11,P11,R11,T11,V11,X11,Z11),2)</f>
        <v>0.27900000000000003</v>
      </c>
    </row>
    <row r="12" spans="1:28" ht="15" customHeight="1" x14ac:dyDescent="0.25">
      <c r="A12" s="27" t="s">
        <v>32</v>
      </c>
      <c r="B12" s="7">
        <v>24</v>
      </c>
      <c r="C12" s="8">
        <v>0.33100000000000002</v>
      </c>
      <c r="D12" s="9">
        <v>0.1759</v>
      </c>
      <c r="E12" s="8">
        <v>0.35499999999999998</v>
      </c>
      <c r="F12" s="9">
        <v>0.17100000000000001</v>
      </c>
      <c r="G12" s="8">
        <v>0.34699999999999998</v>
      </c>
      <c r="H12" s="9">
        <v>0.186</v>
      </c>
      <c r="I12" s="8">
        <v>0.36599999999999999</v>
      </c>
      <c r="J12" s="9">
        <v>0.20799999999999999</v>
      </c>
      <c r="K12" s="8">
        <v>0.47599999999999998</v>
      </c>
      <c r="L12" s="9">
        <v>0.224</v>
      </c>
      <c r="M12" s="8">
        <v>0.41799999999999998</v>
      </c>
      <c r="N12" s="9">
        <v>0.255</v>
      </c>
      <c r="O12" s="8">
        <v>0.38400000000000001</v>
      </c>
      <c r="P12" s="9">
        <v>0.251</v>
      </c>
      <c r="Q12" s="8">
        <v>0.39</v>
      </c>
      <c r="R12" s="9">
        <v>0.22600000000000001</v>
      </c>
      <c r="S12" s="8">
        <v>0.45900000000000002</v>
      </c>
      <c r="T12" s="9">
        <v>0.34799999999999998</v>
      </c>
      <c r="U12" s="8">
        <v>0.45400000000000001</v>
      </c>
      <c r="V12" s="9">
        <v>0.29599999999999999</v>
      </c>
      <c r="W12" s="8">
        <v>0.51800000000000002</v>
      </c>
      <c r="X12" s="9">
        <v>0.36799999999999999</v>
      </c>
      <c r="Y12" s="8">
        <v>0.42199999999999999</v>
      </c>
      <c r="Z12" s="10">
        <v>0.26500000000000001</v>
      </c>
      <c r="AA12" s="11">
        <f>SMALL((C12,E12,G12,I12,K12,M12,O12,Q12,S12,U12,W12,Y12),2)</f>
        <v>0.34699999999999998</v>
      </c>
      <c r="AB12" s="11">
        <f>SMALL((D12,F12,H12,J12,L12,N12,P12,R12,T12,V12,X12,Z12),2)</f>
        <v>0.1759</v>
      </c>
    </row>
    <row r="13" spans="1:28" ht="15" customHeight="1" x14ac:dyDescent="0.25">
      <c r="A13" s="28"/>
      <c r="B13" s="12">
        <v>360</v>
      </c>
      <c r="C13" s="13">
        <v>0.45</v>
      </c>
      <c r="D13" s="14">
        <v>0.253</v>
      </c>
      <c r="E13" s="13">
        <v>0.47299999999999998</v>
      </c>
      <c r="F13" s="14">
        <v>0.26700000000000002</v>
      </c>
      <c r="G13" s="13">
        <v>0.48</v>
      </c>
      <c r="H13" s="14">
        <v>0.27500000000000002</v>
      </c>
      <c r="I13" s="13">
        <v>0.48899999999999999</v>
      </c>
      <c r="J13" s="14">
        <v>0.27200000000000002</v>
      </c>
      <c r="K13" s="13">
        <v>0.46500000000000002</v>
      </c>
      <c r="L13" s="14">
        <v>0.26100000000000001</v>
      </c>
      <c r="M13" s="13">
        <v>0.55000000000000004</v>
      </c>
      <c r="N13" s="14">
        <v>0.308</v>
      </c>
      <c r="O13" s="13">
        <v>0.60799999999999998</v>
      </c>
      <c r="P13" s="14">
        <v>0.40300000000000002</v>
      </c>
      <c r="Q13" s="13">
        <v>0.57499999999999996</v>
      </c>
      <c r="R13" s="14">
        <v>0.37</v>
      </c>
      <c r="S13" s="13">
        <v>0.64800000000000002</v>
      </c>
      <c r="T13" s="14">
        <v>0.46800000000000003</v>
      </c>
      <c r="U13" s="13">
        <v>0.64100000000000001</v>
      </c>
      <c r="V13" s="14">
        <v>0.45200000000000001</v>
      </c>
      <c r="W13" s="13">
        <v>0.65800000000000003</v>
      </c>
      <c r="X13" s="14">
        <v>0.45200000000000001</v>
      </c>
      <c r="Y13" s="13">
        <v>0.57199999999999995</v>
      </c>
      <c r="Z13" s="18">
        <v>0.36199999999999999</v>
      </c>
      <c r="AA13" s="11">
        <f>SMALL((C13,E13,G13,I13,K13,M13,O13,Q13,S13,U13,W13,Y13),2)</f>
        <v>0.46500000000000002</v>
      </c>
      <c r="AB13" s="11">
        <f>SMALL((D13,F13,H13,J13,L13,N13,P13,R13,T13,V13,X13,Z13),2)</f>
        <v>0.26100000000000001</v>
      </c>
    </row>
    <row r="14" spans="1:28" ht="15" customHeight="1" thickBot="1" x14ac:dyDescent="0.3">
      <c r="A14" s="29"/>
      <c r="B14" s="15" t="s">
        <v>11</v>
      </c>
      <c r="C14" s="16">
        <f>ROUND(AVERAGE(C12:C13),4)</f>
        <v>0.39050000000000001</v>
      </c>
      <c r="D14" s="17">
        <f>ROUND(AVERAGE(D12:D13),4)</f>
        <v>0.2145</v>
      </c>
      <c r="E14" s="16">
        <f t="shared" ref="E14:Z14" si="6">ROUND(AVERAGE(E12:E13),4)</f>
        <v>0.41399999999999998</v>
      </c>
      <c r="F14" s="17">
        <f t="shared" si="6"/>
        <v>0.219</v>
      </c>
      <c r="G14" s="16">
        <f t="shared" si="6"/>
        <v>0.41349999999999998</v>
      </c>
      <c r="H14" s="17">
        <f t="shared" si="6"/>
        <v>0.23050000000000001</v>
      </c>
      <c r="I14" s="16">
        <f t="shared" si="6"/>
        <v>0.42749999999999999</v>
      </c>
      <c r="J14" s="17">
        <f t="shared" si="6"/>
        <v>0.24</v>
      </c>
      <c r="K14" s="16">
        <f t="shared" si="6"/>
        <v>0.47049999999999997</v>
      </c>
      <c r="L14" s="17">
        <f t="shared" si="6"/>
        <v>0.24249999999999999</v>
      </c>
      <c r="M14" s="16">
        <f t="shared" si="6"/>
        <v>0.48399999999999999</v>
      </c>
      <c r="N14" s="17">
        <f t="shared" si="6"/>
        <v>0.28149999999999997</v>
      </c>
      <c r="O14" s="16">
        <f t="shared" si="6"/>
        <v>0.496</v>
      </c>
      <c r="P14" s="17">
        <f t="shared" si="6"/>
        <v>0.32700000000000001</v>
      </c>
      <c r="Q14" s="16">
        <f t="shared" si="6"/>
        <v>0.48249999999999998</v>
      </c>
      <c r="R14" s="17">
        <f t="shared" si="6"/>
        <v>0.29799999999999999</v>
      </c>
      <c r="S14" s="16">
        <f t="shared" si="6"/>
        <v>0.55349999999999999</v>
      </c>
      <c r="T14" s="17">
        <f t="shared" si="6"/>
        <v>0.40799999999999997</v>
      </c>
      <c r="U14" s="16">
        <f t="shared" si="6"/>
        <v>0.54749999999999999</v>
      </c>
      <c r="V14" s="17">
        <f t="shared" si="6"/>
        <v>0.374</v>
      </c>
      <c r="W14" s="16">
        <f t="shared" si="6"/>
        <v>0.58799999999999997</v>
      </c>
      <c r="X14" s="17">
        <f t="shared" si="6"/>
        <v>0.41</v>
      </c>
      <c r="Y14" s="16">
        <f t="shared" si="6"/>
        <v>0.497</v>
      </c>
      <c r="Z14" s="17">
        <f t="shared" si="6"/>
        <v>0.3135</v>
      </c>
      <c r="AA14" s="11">
        <f>SMALL((C14,E14,G14,I14,K14,M14,O14,Q14,S14,U14,W14,Y14),2)</f>
        <v>0.41349999999999998</v>
      </c>
      <c r="AB14" s="11">
        <f>SMALL((D14,F14,H14,J14,L14,N14,P14,R14,T14,V14,X14,Z14),2)</f>
        <v>0.219</v>
      </c>
    </row>
    <row r="15" spans="1:28" ht="15" customHeight="1" x14ac:dyDescent="0.25">
      <c r="A15" s="27" t="s">
        <v>33</v>
      </c>
      <c r="B15" s="7">
        <v>24</v>
      </c>
      <c r="C15" s="8">
        <v>0.248</v>
      </c>
      <c r="D15" s="9">
        <v>0.31140000000000001</v>
      </c>
      <c r="E15" s="8">
        <v>0.27600000000000002</v>
      </c>
      <c r="F15" s="9">
        <v>0.32100000000000001</v>
      </c>
      <c r="G15" s="8">
        <v>0.28100000000000003</v>
      </c>
      <c r="H15" s="9">
        <v>0.33100000000000002</v>
      </c>
      <c r="I15" s="8">
        <v>0.33700000000000002</v>
      </c>
      <c r="J15" s="9">
        <v>0.36199999999999999</v>
      </c>
      <c r="K15" s="8">
        <v>0.371</v>
      </c>
      <c r="L15" s="9">
        <v>0.379</v>
      </c>
      <c r="M15" s="8">
        <v>0.36399999999999999</v>
      </c>
      <c r="N15" s="9">
        <v>0.38300000000000001</v>
      </c>
      <c r="O15" s="8">
        <v>0.374</v>
      </c>
      <c r="P15" s="9">
        <v>0.375</v>
      </c>
      <c r="Q15" s="8">
        <v>0.38700000000000001</v>
      </c>
      <c r="R15" s="9">
        <v>0.39600000000000002</v>
      </c>
      <c r="S15" s="8">
        <v>0.39400000000000002</v>
      </c>
      <c r="T15" s="9">
        <v>0.40699999999999997</v>
      </c>
      <c r="U15" s="8">
        <v>0.39900000000000002</v>
      </c>
      <c r="V15" s="9">
        <v>0.41199999999999998</v>
      </c>
      <c r="W15" s="8">
        <v>0.41299999999999998</v>
      </c>
      <c r="X15" s="9">
        <v>0.41199999999999998</v>
      </c>
      <c r="Y15" s="8">
        <v>0.42299999999999999</v>
      </c>
      <c r="Z15" s="10">
        <v>0.42599999999999999</v>
      </c>
      <c r="AA15" s="11">
        <f>SMALL((C15,E15,G15,I15,K15,M15,O15,Q15,S15,U15,W15,Y15),2)</f>
        <v>0.27600000000000002</v>
      </c>
      <c r="AB15" s="11">
        <f>SMALL((D15,F15,H15,J15,L15,N15,P15,R15,T15,V15,X15,Z15),2)</f>
        <v>0.32100000000000001</v>
      </c>
    </row>
    <row r="16" spans="1:28" ht="15" customHeight="1" x14ac:dyDescent="0.25">
      <c r="A16" s="28"/>
      <c r="B16" s="12">
        <v>360</v>
      </c>
      <c r="C16" s="13">
        <v>0.42599999999999999</v>
      </c>
      <c r="D16" s="14">
        <v>0.3992</v>
      </c>
      <c r="E16" s="13">
        <v>0.46100000000000002</v>
      </c>
      <c r="F16" s="14">
        <v>0.41699999999999998</v>
      </c>
      <c r="G16" s="13">
        <v>0.51100000000000001</v>
      </c>
      <c r="H16" s="14">
        <v>0.42699999999999999</v>
      </c>
      <c r="I16" s="13">
        <v>0.60199999999999998</v>
      </c>
      <c r="J16" s="14">
        <v>0.47099999999999997</v>
      </c>
      <c r="K16" s="13">
        <v>0.59799999999999998</v>
      </c>
      <c r="L16" s="14">
        <v>0.50900000000000001</v>
      </c>
      <c r="M16" s="13">
        <v>0.623</v>
      </c>
      <c r="N16" s="14">
        <v>0.50900000000000001</v>
      </c>
      <c r="O16" s="13">
        <v>0.59199999999999997</v>
      </c>
      <c r="P16" s="14">
        <v>0.48499999999999999</v>
      </c>
      <c r="Q16" s="13">
        <v>0.58299999999999996</v>
      </c>
      <c r="R16" s="14">
        <v>0.50700000000000001</v>
      </c>
      <c r="S16" s="13">
        <v>0.54900000000000004</v>
      </c>
      <c r="T16" s="14">
        <v>0.47199999999999998</v>
      </c>
      <c r="U16" s="13">
        <v>0.54900000000000004</v>
      </c>
      <c r="V16" s="14">
        <v>0.47799999999999998</v>
      </c>
      <c r="W16" s="13">
        <v>0.58899999999999997</v>
      </c>
      <c r="X16" s="14">
        <v>0.498</v>
      </c>
      <c r="Y16" s="13">
        <v>0.57299999999999995</v>
      </c>
      <c r="Z16" s="18">
        <v>0.48699999999999999</v>
      </c>
      <c r="AA16" s="11">
        <f>SMALL((C16,E16,G16,I16,K16,M16,O16,Q16,S16,U16,W16,Y16),2)</f>
        <v>0.46100000000000002</v>
      </c>
      <c r="AB16" s="11">
        <f>SMALL((D16,F16,H16,J16,L16,N16,P16,R16,T16,V16,X16,Z16),2)</f>
        <v>0.41699999999999998</v>
      </c>
    </row>
    <row r="17" spans="1:28" ht="15" customHeight="1" thickBot="1" x14ac:dyDescent="0.3">
      <c r="A17" s="29"/>
      <c r="B17" s="15" t="s">
        <v>11</v>
      </c>
      <c r="C17" s="16">
        <f>ROUND(AVERAGE(C15:C16),4)</f>
        <v>0.33700000000000002</v>
      </c>
      <c r="D17" s="17">
        <f>ROUND(AVERAGE(D15:D16),4)</f>
        <v>0.3553</v>
      </c>
      <c r="E17" s="16">
        <f t="shared" ref="E17:Z17" si="7">ROUND(AVERAGE(E15:E16),4)</f>
        <v>0.36849999999999999</v>
      </c>
      <c r="F17" s="17">
        <f t="shared" si="7"/>
        <v>0.36899999999999999</v>
      </c>
      <c r="G17" s="16">
        <f t="shared" si="7"/>
        <v>0.39600000000000002</v>
      </c>
      <c r="H17" s="17">
        <f t="shared" si="7"/>
        <v>0.379</v>
      </c>
      <c r="I17" s="16">
        <f t="shared" si="7"/>
        <v>0.46949999999999997</v>
      </c>
      <c r="J17" s="17">
        <f t="shared" si="7"/>
        <v>0.41649999999999998</v>
      </c>
      <c r="K17" s="16">
        <f t="shared" si="7"/>
        <v>0.48449999999999999</v>
      </c>
      <c r="L17" s="17">
        <f t="shared" si="7"/>
        <v>0.44400000000000001</v>
      </c>
      <c r="M17" s="16">
        <f t="shared" si="7"/>
        <v>0.49349999999999999</v>
      </c>
      <c r="N17" s="17">
        <f t="shared" si="7"/>
        <v>0.44600000000000001</v>
      </c>
      <c r="O17" s="16">
        <f t="shared" si="7"/>
        <v>0.48299999999999998</v>
      </c>
      <c r="P17" s="17">
        <f t="shared" si="7"/>
        <v>0.43</v>
      </c>
      <c r="Q17" s="16">
        <f t="shared" si="7"/>
        <v>0.48499999999999999</v>
      </c>
      <c r="R17" s="17">
        <f t="shared" si="7"/>
        <v>0.45150000000000001</v>
      </c>
      <c r="S17" s="16">
        <f t="shared" si="7"/>
        <v>0.47149999999999997</v>
      </c>
      <c r="T17" s="17">
        <f t="shared" si="7"/>
        <v>0.4395</v>
      </c>
      <c r="U17" s="16">
        <f t="shared" si="7"/>
        <v>0.47399999999999998</v>
      </c>
      <c r="V17" s="17">
        <f t="shared" si="7"/>
        <v>0.44500000000000001</v>
      </c>
      <c r="W17" s="16">
        <f t="shared" si="7"/>
        <v>0.501</v>
      </c>
      <c r="X17" s="17">
        <f t="shared" si="7"/>
        <v>0.45500000000000002</v>
      </c>
      <c r="Y17" s="16">
        <f t="shared" si="7"/>
        <v>0.498</v>
      </c>
      <c r="Z17" s="17">
        <f t="shared" si="7"/>
        <v>0.45650000000000002</v>
      </c>
      <c r="AA17" s="11">
        <f>SMALL((C17,E17,G17,I17,K17,M17,O17,Q17,S17,U17,W17,Y17),2)</f>
        <v>0.36849999999999999</v>
      </c>
      <c r="AB17" s="11">
        <f>SMALL((D17,F17,H17,J17,L17,N17,P17,R17,T17,V17,X17,Z17),2)</f>
        <v>0.36899999999999999</v>
      </c>
    </row>
    <row r="18" spans="1:28" ht="15" customHeight="1" x14ac:dyDescent="0.25">
      <c r="A18" s="27" t="s">
        <v>34</v>
      </c>
      <c r="B18" s="7">
        <v>24</v>
      </c>
      <c r="C18" s="8">
        <v>6.54E-2</v>
      </c>
      <c r="D18" s="9">
        <v>0.19889999999999999</v>
      </c>
      <c r="E18" s="8">
        <v>7.9000000000000001E-2</v>
      </c>
      <c r="F18" s="9">
        <v>0.215</v>
      </c>
      <c r="G18" s="8">
        <v>8.1000000000000003E-2</v>
      </c>
      <c r="H18" s="9">
        <v>0.217</v>
      </c>
      <c r="I18" s="8">
        <v>0.121</v>
      </c>
      <c r="J18" s="9">
        <v>0.27</v>
      </c>
      <c r="K18" s="8">
        <v>9.4E-2</v>
      </c>
      <c r="L18" s="9">
        <v>0.23699999999999999</v>
      </c>
      <c r="M18" s="8">
        <v>0.104</v>
      </c>
      <c r="N18" s="9">
        <v>0.25</v>
      </c>
      <c r="O18" s="8">
        <v>0.11799999999999999</v>
      </c>
      <c r="P18" s="9">
        <v>0.28499999999999998</v>
      </c>
      <c r="Q18" s="8">
        <v>0.23699999999999999</v>
      </c>
      <c r="R18" s="9">
        <v>0.41399999999999998</v>
      </c>
      <c r="S18" s="8">
        <v>0.13800000000000001</v>
      </c>
      <c r="T18" s="9">
        <v>0.30599999999999999</v>
      </c>
      <c r="U18" s="8">
        <v>0.13500000000000001</v>
      </c>
      <c r="V18" s="9">
        <v>0.29799999999999999</v>
      </c>
      <c r="W18" s="8">
        <v>0.23899999999999999</v>
      </c>
      <c r="X18" s="9">
        <v>0.39</v>
      </c>
      <c r="Y18" s="8">
        <v>8.5000000000000006E-2</v>
      </c>
      <c r="Z18" s="10">
        <v>0.23</v>
      </c>
      <c r="AA18" s="11">
        <f>SMALL((C18,E18,G18,I18,K18,M18,O18,Q18,S18,U18,W18,Y18),2)</f>
        <v>7.9000000000000001E-2</v>
      </c>
      <c r="AB18" s="11">
        <f>SMALL((D18,F18,H18,J18,L18,N18,P18,R18,T18,V18,X18,Z18),2)</f>
        <v>0.215</v>
      </c>
    </row>
    <row r="19" spans="1:28" ht="15" customHeight="1" x14ac:dyDescent="0.25">
      <c r="A19" s="28"/>
      <c r="B19" s="12">
        <v>360</v>
      </c>
      <c r="C19" s="13">
        <v>0.154</v>
      </c>
      <c r="D19" s="14">
        <v>0.30499999999999999</v>
      </c>
      <c r="E19" s="13">
        <v>0.17</v>
      </c>
      <c r="F19" s="14">
        <v>0.32100000000000001</v>
      </c>
      <c r="G19" s="13">
        <v>0.18</v>
      </c>
      <c r="H19" s="14">
        <v>0.33100000000000002</v>
      </c>
      <c r="I19" s="13">
        <v>0.20100000000000001</v>
      </c>
      <c r="J19" s="14">
        <v>0.35299999999999998</v>
      </c>
      <c r="K19" s="13">
        <v>0.16700000000000001</v>
      </c>
      <c r="L19" s="14">
        <v>0.33500000000000002</v>
      </c>
      <c r="M19" s="13">
        <v>0.20200000000000001</v>
      </c>
      <c r="N19" s="14">
        <v>0.35399999999999998</v>
      </c>
      <c r="O19" s="13">
        <v>0.28799999999999998</v>
      </c>
      <c r="P19" s="14">
        <v>0.45200000000000001</v>
      </c>
      <c r="Q19" s="13">
        <v>0.23899999999999999</v>
      </c>
      <c r="R19" s="14">
        <v>0.38600000000000001</v>
      </c>
      <c r="S19" s="13">
        <v>0.32800000000000001</v>
      </c>
      <c r="T19" s="14">
        <v>0.47199999999999998</v>
      </c>
      <c r="U19" s="13">
        <v>0.30199999999999999</v>
      </c>
      <c r="V19" s="14">
        <v>0.46100000000000002</v>
      </c>
      <c r="W19" s="13">
        <v>0.214</v>
      </c>
      <c r="X19" s="14">
        <v>0.36299999999999999</v>
      </c>
      <c r="Y19" s="13">
        <v>0.26300000000000001</v>
      </c>
      <c r="Z19" s="18">
        <v>0.41599999999999998</v>
      </c>
      <c r="AA19" s="11">
        <f>SMALL((C19,E19,G19,I19,K19,M19,O19,Q19,S19,U19,W19,Y19),2)</f>
        <v>0.16700000000000001</v>
      </c>
      <c r="AB19" s="11">
        <f>SMALL((D19,F19,H19,J19,L19,N19,P19,R19,T19,V19,X19,Z19),2)</f>
        <v>0.32100000000000001</v>
      </c>
    </row>
    <row r="20" spans="1:28" ht="15" customHeight="1" thickBot="1" x14ac:dyDescent="0.3">
      <c r="A20" s="29"/>
      <c r="B20" s="15" t="s">
        <v>11</v>
      </c>
      <c r="C20" s="16">
        <f>ROUND(AVERAGE(C18:C19),4)</f>
        <v>0.10970000000000001</v>
      </c>
      <c r="D20" s="17">
        <f>ROUND(AVERAGE(D18:D19),4)</f>
        <v>0.252</v>
      </c>
      <c r="E20" s="16">
        <f t="shared" ref="E20:Z20" si="8">ROUND(AVERAGE(E18:E19),4)</f>
        <v>0.1245</v>
      </c>
      <c r="F20" s="17">
        <f t="shared" si="8"/>
        <v>0.26800000000000002</v>
      </c>
      <c r="G20" s="16">
        <f t="shared" si="8"/>
        <v>0.1305</v>
      </c>
      <c r="H20" s="17">
        <f t="shared" si="8"/>
        <v>0.27400000000000002</v>
      </c>
      <c r="I20" s="16">
        <f t="shared" si="8"/>
        <v>0.161</v>
      </c>
      <c r="J20" s="17">
        <f t="shared" si="8"/>
        <v>0.3115</v>
      </c>
      <c r="K20" s="16">
        <f t="shared" si="8"/>
        <v>0.1305</v>
      </c>
      <c r="L20" s="17">
        <f t="shared" si="8"/>
        <v>0.28599999999999998</v>
      </c>
      <c r="M20" s="16">
        <f t="shared" si="8"/>
        <v>0.153</v>
      </c>
      <c r="N20" s="17">
        <f t="shared" si="8"/>
        <v>0.30199999999999999</v>
      </c>
      <c r="O20" s="16">
        <f t="shared" si="8"/>
        <v>0.20300000000000001</v>
      </c>
      <c r="P20" s="17">
        <f t="shared" si="8"/>
        <v>0.36849999999999999</v>
      </c>
      <c r="Q20" s="16">
        <f t="shared" si="8"/>
        <v>0.23799999999999999</v>
      </c>
      <c r="R20" s="17">
        <f t="shared" si="8"/>
        <v>0.4</v>
      </c>
      <c r="S20" s="16">
        <f t="shared" si="8"/>
        <v>0.23300000000000001</v>
      </c>
      <c r="T20" s="17">
        <f t="shared" si="8"/>
        <v>0.38900000000000001</v>
      </c>
      <c r="U20" s="16">
        <f t="shared" si="8"/>
        <v>0.2185</v>
      </c>
      <c r="V20" s="17">
        <f t="shared" si="8"/>
        <v>0.3795</v>
      </c>
      <c r="W20" s="16">
        <f t="shared" si="8"/>
        <v>0.22650000000000001</v>
      </c>
      <c r="X20" s="17">
        <f t="shared" si="8"/>
        <v>0.3765</v>
      </c>
      <c r="Y20" s="16">
        <f t="shared" si="8"/>
        <v>0.17399999999999999</v>
      </c>
      <c r="Z20" s="17">
        <f t="shared" si="8"/>
        <v>0.32300000000000001</v>
      </c>
      <c r="AA20" s="11">
        <f>SMALL((C20,E20,G20,I20,K20,M20,O20,Q20,S20,U20,W20,Y20),2)</f>
        <v>0.1245</v>
      </c>
      <c r="AB20" s="11">
        <f>SMALL((D20,F20,H20,J20,L20,N20,P20,R20,T20,V20,X20,Z20),2)</f>
        <v>0.26800000000000002</v>
      </c>
    </row>
    <row r="21" spans="1:28" ht="15" customHeight="1" x14ac:dyDescent="0.25">
      <c r="A21" s="27" t="s">
        <v>35</v>
      </c>
      <c r="B21" s="7">
        <v>24</v>
      </c>
      <c r="C21" s="8">
        <v>0.36559999999999998</v>
      </c>
      <c r="D21" s="9">
        <v>0.39400000000000002</v>
      </c>
      <c r="E21" s="8">
        <v>0.35</v>
      </c>
      <c r="F21" s="9">
        <v>0.4</v>
      </c>
      <c r="G21" s="8">
        <v>0.375</v>
      </c>
      <c r="H21" s="9">
        <v>0.41399999999999998</v>
      </c>
      <c r="I21" s="8">
        <v>0.55500000000000005</v>
      </c>
      <c r="J21" s="9">
        <v>0.53100000000000003</v>
      </c>
      <c r="K21" s="8">
        <v>0.39800000000000002</v>
      </c>
      <c r="L21" s="9">
        <v>0.442</v>
      </c>
      <c r="M21" s="8">
        <v>0.46899999999999997</v>
      </c>
      <c r="N21" s="9">
        <v>0.49</v>
      </c>
      <c r="O21" s="8">
        <v>0.55000000000000004</v>
      </c>
      <c r="P21" s="9">
        <v>0.56200000000000006</v>
      </c>
      <c r="Q21" s="8">
        <v>0.35499999999999998</v>
      </c>
      <c r="R21" s="9">
        <v>0.47299999999999998</v>
      </c>
      <c r="S21" s="8">
        <v>0.36299999999999999</v>
      </c>
      <c r="T21" s="9">
        <v>0.44500000000000001</v>
      </c>
      <c r="U21" s="8">
        <v>0.41499999999999998</v>
      </c>
      <c r="V21" s="9">
        <v>0.503</v>
      </c>
      <c r="W21" s="8">
        <v>0.374</v>
      </c>
      <c r="X21" s="9">
        <v>0.45400000000000001</v>
      </c>
      <c r="Y21" s="8">
        <v>0.41699999999999998</v>
      </c>
      <c r="Z21" s="10">
        <v>0.501</v>
      </c>
      <c r="AA21" s="11">
        <f>SMALL((C21,E21,G21,I21,K21,M21,O21,Q21,S21,U21,W21,Y21),2)</f>
        <v>0.35499999999999998</v>
      </c>
      <c r="AB21" s="11">
        <f>SMALL((D21,F21,H21,J21,L21,N21,P21,R21,T21,V21,X21,Z21),2)</f>
        <v>0.4</v>
      </c>
    </row>
    <row r="22" spans="1:28" ht="15" customHeight="1" x14ac:dyDescent="0.25">
      <c r="A22" s="28"/>
      <c r="B22" s="12">
        <v>360</v>
      </c>
      <c r="C22" s="13">
        <v>0.44500000000000001</v>
      </c>
      <c r="D22" s="14">
        <v>0.44500000000000001</v>
      </c>
      <c r="E22" s="13">
        <v>0.49299999999999999</v>
      </c>
      <c r="F22" s="14">
        <v>0.51500000000000001</v>
      </c>
      <c r="G22" s="13">
        <v>0.47099999999999997</v>
      </c>
      <c r="H22" s="14">
        <v>0.498</v>
      </c>
      <c r="I22" s="13">
        <v>0.84099999999999997</v>
      </c>
      <c r="J22" s="14">
        <v>0.68200000000000005</v>
      </c>
      <c r="K22" s="13">
        <v>0.497</v>
      </c>
      <c r="L22" s="14">
        <v>0.47399999999999998</v>
      </c>
      <c r="M22" s="13">
        <v>0.49199999999999999</v>
      </c>
      <c r="N22" s="14">
        <v>0.52600000000000002</v>
      </c>
      <c r="O22" s="13">
        <v>0.64700000000000002</v>
      </c>
      <c r="P22" s="14">
        <v>0.57699999999999996</v>
      </c>
      <c r="Q22" s="13">
        <v>0.499</v>
      </c>
      <c r="R22" s="14">
        <v>0.53400000000000003</v>
      </c>
      <c r="S22" s="13">
        <v>0.51</v>
      </c>
      <c r="T22" s="14">
        <v>0.53200000000000003</v>
      </c>
      <c r="U22" s="13">
        <v>0.47599999999999998</v>
      </c>
      <c r="V22" s="14">
        <v>0.56399999999999995</v>
      </c>
      <c r="W22" s="13">
        <v>0.497</v>
      </c>
      <c r="X22" s="14">
        <v>0.55000000000000004</v>
      </c>
      <c r="Y22" s="13">
        <v>0.48</v>
      </c>
      <c r="Z22" s="18">
        <v>0.56200000000000006</v>
      </c>
      <c r="AA22" s="11">
        <f>SMALL((C22,E22,G22,I22,K22,M22,O22,Q22,S22,U22,W22,Y22),2)</f>
        <v>0.47099999999999997</v>
      </c>
      <c r="AB22" s="11">
        <f>SMALL((D22,F22,H22,J22,L22,N22,P22,R22,T22,V22,X22,Z22),2)</f>
        <v>0.47399999999999998</v>
      </c>
    </row>
    <row r="23" spans="1:28" ht="15" customHeight="1" thickBot="1" x14ac:dyDescent="0.3">
      <c r="A23" s="29"/>
      <c r="B23" s="15" t="s">
        <v>11</v>
      </c>
      <c r="C23" s="16">
        <f>ROUND(AVERAGE(C21:C22),4)</f>
        <v>0.40529999999999999</v>
      </c>
      <c r="D23" s="17">
        <f>ROUND(AVERAGE(D21:D22),4)</f>
        <v>0.41949999999999998</v>
      </c>
      <c r="E23" s="16">
        <f t="shared" ref="E23:Z23" si="9">ROUND(AVERAGE(E21:E22),4)</f>
        <v>0.42149999999999999</v>
      </c>
      <c r="F23" s="17">
        <f t="shared" si="9"/>
        <v>0.45750000000000002</v>
      </c>
      <c r="G23" s="16">
        <f t="shared" si="9"/>
        <v>0.42299999999999999</v>
      </c>
      <c r="H23" s="17">
        <f t="shared" si="9"/>
        <v>0.45600000000000002</v>
      </c>
      <c r="I23" s="16">
        <f t="shared" si="9"/>
        <v>0.69799999999999995</v>
      </c>
      <c r="J23" s="17">
        <f t="shared" si="9"/>
        <v>0.60650000000000004</v>
      </c>
      <c r="K23" s="16">
        <f t="shared" si="9"/>
        <v>0.44750000000000001</v>
      </c>
      <c r="L23" s="17">
        <f t="shared" si="9"/>
        <v>0.45800000000000002</v>
      </c>
      <c r="M23" s="16">
        <f t="shared" si="9"/>
        <v>0.48049999999999998</v>
      </c>
      <c r="N23" s="17">
        <f t="shared" si="9"/>
        <v>0.50800000000000001</v>
      </c>
      <c r="O23" s="16">
        <f t="shared" si="9"/>
        <v>0.59850000000000003</v>
      </c>
      <c r="P23" s="17">
        <f t="shared" si="9"/>
        <v>0.56950000000000001</v>
      </c>
      <c r="Q23" s="16">
        <f t="shared" si="9"/>
        <v>0.42699999999999999</v>
      </c>
      <c r="R23" s="17">
        <f t="shared" si="9"/>
        <v>0.50349999999999995</v>
      </c>
      <c r="S23" s="16">
        <f t="shared" si="9"/>
        <v>0.4365</v>
      </c>
      <c r="T23" s="17">
        <f t="shared" si="9"/>
        <v>0.48849999999999999</v>
      </c>
      <c r="U23" s="16">
        <f t="shared" si="9"/>
        <v>0.44550000000000001</v>
      </c>
      <c r="V23" s="17">
        <f t="shared" si="9"/>
        <v>0.53349999999999997</v>
      </c>
      <c r="W23" s="16">
        <f t="shared" si="9"/>
        <v>0.4355</v>
      </c>
      <c r="X23" s="17">
        <f t="shared" si="9"/>
        <v>0.502</v>
      </c>
      <c r="Y23" s="16">
        <f t="shared" si="9"/>
        <v>0.44850000000000001</v>
      </c>
      <c r="Z23" s="17">
        <f t="shared" si="9"/>
        <v>0.53149999999999997</v>
      </c>
      <c r="AA23" s="11">
        <f>SMALL((C23,E23,G23,I23,K23,M23,O23,Q23,S23,U23,W23,Y23),2)</f>
        <v>0.42149999999999999</v>
      </c>
      <c r="AB23" s="11">
        <f>SMALL((D23,F23,H23,J23,L23,N23,P23,R23,T23,V23,X23,Z23),2)</f>
        <v>0.45600000000000002</v>
      </c>
    </row>
    <row r="24" spans="1:28" ht="15" customHeight="1" x14ac:dyDescent="0.25">
      <c r="A24" s="27" t="s">
        <v>36</v>
      </c>
      <c r="B24" s="7">
        <v>24</v>
      </c>
      <c r="C24" s="8">
        <v>0.39939999999999998</v>
      </c>
      <c r="D24" s="9">
        <v>0.4209</v>
      </c>
      <c r="E24" s="8">
        <v>0.371</v>
      </c>
      <c r="F24" s="9">
        <v>0.41399999999999998</v>
      </c>
      <c r="G24" s="8">
        <v>0.42</v>
      </c>
      <c r="H24" s="9">
        <v>0.441</v>
      </c>
      <c r="I24" s="8">
        <v>0.622</v>
      </c>
      <c r="J24" s="9">
        <v>0.57099999999999995</v>
      </c>
      <c r="K24" s="8">
        <v>0.40899999999999997</v>
      </c>
      <c r="L24" s="9">
        <v>0.4612</v>
      </c>
      <c r="M24" s="8">
        <v>0.46</v>
      </c>
      <c r="N24" s="9">
        <v>0.49299999999999999</v>
      </c>
      <c r="O24" s="8">
        <v>0.442</v>
      </c>
      <c r="P24" s="9">
        <v>0.45</v>
      </c>
      <c r="Q24" s="8">
        <v>0.47699999999999998</v>
      </c>
      <c r="R24" s="9">
        <v>0.53600000000000003</v>
      </c>
      <c r="S24" s="8">
        <v>0.39400000000000002</v>
      </c>
      <c r="T24" s="9">
        <v>0.46400000000000002</v>
      </c>
      <c r="U24" s="8">
        <v>0.47</v>
      </c>
      <c r="V24" s="9">
        <v>0.53200000000000003</v>
      </c>
      <c r="W24" s="8">
        <v>0.41799999999999998</v>
      </c>
      <c r="X24" s="9">
        <v>0.49199999999999999</v>
      </c>
      <c r="Y24" s="8">
        <v>0.45900000000000002</v>
      </c>
      <c r="Z24" s="10">
        <v>0.53</v>
      </c>
      <c r="AA24" s="11">
        <f>SMALL((C24,E24,G24,I24,K24,M24,O24,Q24,S24,U24,W24,Y24),2)</f>
        <v>0.39400000000000002</v>
      </c>
      <c r="AB24" s="11">
        <f>SMALL((D24,F24,H24,J24,L24,N24,P24,R24,T24,V24,X24,Z24),2)</f>
        <v>0.4209</v>
      </c>
    </row>
    <row r="25" spans="1:28" ht="15" customHeight="1" x14ac:dyDescent="0.25">
      <c r="A25" s="28"/>
      <c r="B25" s="12">
        <v>360</v>
      </c>
      <c r="C25" s="13">
        <v>0.45600000000000002</v>
      </c>
      <c r="D25" s="14">
        <v>0.45400000000000001</v>
      </c>
      <c r="E25" s="13">
        <v>0.57799999999999996</v>
      </c>
      <c r="F25" s="14">
        <v>0.55300000000000005</v>
      </c>
      <c r="G25" s="13">
        <v>0.52500000000000002</v>
      </c>
      <c r="H25" s="14">
        <v>0.53</v>
      </c>
      <c r="I25" s="13">
        <v>0.96899999999999997</v>
      </c>
      <c r="J25" s="14">
        <v>0.73299999999999998</v>
      </c>
      <c r="K25" s="13">
        <v>0.56499999999999995</v>
      </c>
      <c r="L25" s="14">
        <v>0.49719999999999998</v>
      </c>
      <c r="M25" s="13">
        <v>0.51300000000000001</v>
      </c>
      <c r="N25" s="14">
        <v>0.53900000000000003</v>
      </c>
      <c r="O25" s="13">
        <v>0.58299999999999996</v>
      </c>
      <c r="P25" s="14">
        <v>0.52800000000000002</v>
      </c>
      <c r="Q25" s="13">
        <v>0.58899999999999997</v>
      </c>
      <c r="R25" s="14">
        <v>0.61</v>
      </c>
      <c r="S25" s="13">
        <v>0.58699999999999997</v>
      </c>
      <c r="T25" s="14">
        <v>0.56499999999999995</v>
      </c>
      <c r="U25" s="13">
        <v>0.52300000000000002</v>
      </c>
      <c r="V25" s="14">
        <v>0.59099999999999997</v>
      </c>
      <c r="W25" s="13">
        <v>0.60199999999999998</v>
      </c>
      <c r="X25" s="14">
        <v>0.60299999999999998</v>
      </c>
      <c r="Y25" s="13">
        <v>0.58899999999999997</v>
      </c>
      <c r="Z25" s="18">
        <v>0.63</v>
      </c>
      <c r="AA25" s="11">
        <f>SMALL((C25,E25,G25,I25,K25,M25,O25,Q25,S25,U25,W25,Y25),2)</f>
        <v>0.51300000000000001</v>
      </c>
      <c r="AB25" s="11">
        <f>SMALL((D25,F25,H25,J25,L25,N25,P25,R25,T25,V25,X25,Z25),2)</f>
        <v>0.49719999999999998</v>
      </c>
    </row>
    <row r="26" spans="1:28" ht="15" customHeight="1" thickBot="1" x14ac:dyDescent="0.3">
      <c r="A26" s="29"/>
      <c r="B26" s="15" t="s">
        <v>11</v>
      </c>
      <c r="C26" s="16">
        <f>ROUND(AVERAGE(C24:C25),4)</f>
        <v>0.42770000000000002</v>
      </c>
      <c r="D26" s="17">
        <f>ROUND(AVERAGE(D24:D25),4)</f>
        <v>0.4375</v>
      </c>
      <c r="E26" s="16">
        <f t="shared" ref="E26:Z26" si="10">ROUND(AVERAGE(E24:E25),4)</f>
        <v>0.47449999999999998</v>
      </c>
      <c r="F26" s="17">
        <f t="shared" si="10"/>
        <v>0.48349999999999999</v>
      </c>
      <c r="G26" s="16">
        <f t="shared" si="10"/>
        <v>0.47249999999999998</v>
      </c>
      <c r="H26" s="17">
        <f t="shared" si="10"/>
        <v>0.48549999999999999</v>
      </c>
      <c r="I26" s="16">
        <f t="shared" si="10"/>
        <v>0.79549999999999998</v>
      </c>
      <c r="J26" s="17">
        <f t="shared" si="10"/>
        <v>0.65200000000000002</v>
      </c>
      <c r="K26" s="16">
        <f t="shared" si="10"/>
        <v>0.48699999999999999</v>
      </c>
      <c r="L26" s="17">
        <f t="shared" si="10"/>
        <v>0.47920000000000001</v>
      </c>
      <c r="M26" s="16">
        <f t="shared" si="10"/>
        <v>0.48649999999999999</v>
      </c>
      <c r="N26" s="17">
        <f t="shared" si="10"/>
        <v>0.51600000000000001</v>
      </c>
      <c r="O26" s="16">
        <f t="shared" si="10"/>
        <v>0.51249999999999996</v>
      </c>
      <c r="P26" s="17">
        <f t="shared" si="10"/>
        <v>0.48899999999999999</v>
      </c>
      <c r="Q26" s="16">
        <f t="shared" si="10"/>
        <v>0.53300000000000003</v>
      </c>
      <c r="R26" s="17">
        <f t="shared" si="10"/>
        <v>0.57299999999999995</v>
      </c>
      <c r="S26" s="16">
        <f t="shared" si="10"/>
        <v>0.49049999999999999</v>
      </c>
      <c r="T26" s="17">
        <f t="shared" si="10"/>
        <v>0.51449999999999996</v>
      </c>
      <c r="U26" s="16">
        <f t="shared" si="10"/>
        <v>0.4965</v>
      </c>
      <c r="V26" s="17">
        <f t="shared" si="10"/>
        <v>0.5615</v>
      </c>
      <c r="W26" s="16">
        <f t="shared" si="10"/>
        <v>0.51</v>
      </c>
      <c r="X26" s="17">
        <f t="shared" si="10"/>
        <v>0.54749999999999999</v>
      </c>
      <c r="Y26" s="16">
        <f t="shared" si="10"/>
        <v>0.52400000000000002</v>
      </c>
      <c r="Z26" s="17">
        <f t="shared" si="10"/>
        <v>0.57999999999999996</v>
      </c>
      <c r="AA26" s="11">
        <f>SMALL((C26,E26,G26,I26,K26,M26,O26,Q26,S26,U26,W26,Y26),2)</f>
        <v>0.47249999999999998</v>
      </c>
      <c r="AB26" s="11">
        <f>SMALL((D26,F26,H26,J26,L26,N26,P26,R26,T26,V26,X26,Z26),2)</f>
        <v>0.47920000000000001</v>
      </c>
    </row>
    <row r="27" spans="1:28" ht="15" customHeight="1" x14ac:dyDescent="0.25">
      <c r="A27" s="27" t="s">
        <v>37</v>
      </c>
      <c r="B27" s="7">
        <v>24</v>
      </c>
      <c r="C27" s="8">
        <v>0.39489999999999997</v>
      </c>
      <c r="D27" s="9">
        <v>0.4214</v>
      </c>
      <c r="E27" s="8">
        <v>0.40799999999999997</v>
      </c>
      <c r="F27" s="9">
        <v>0.437</v>
      </c>
      <c r="G27" s="8">
        <v>0.42499999999999999</v>
      </c>
      <c r="H27" s="9">
        <v>0.47599999999999998</v>
      </c>
      <c r="I27" s="8">
        <v>0.65100000000000002</v>
      </c>
      <c r="J27" s="9">
        <v>0.58699999999999997</v>
      </c>
      <c r="K27" s="8">
        <v>0.41970000000000002</v>
      </c>
      <c r="L27" s="9">
        <v>0.48060000000000003</v>
      </c>
      <c r="M27" s="8">
        <v>0.436</v>
      </c>
      <c r="N27" s="9">
        <v>0.48899999999999999</v>
      </c>
      <c r="O27" s="8">
        <v>0.52700000000000002</v>
      </c>
      <c r="P27" s="9">
        <v>0.51200000000000001</v>
      </c>
      <c r="Q27" s="8">
        <v>0.54800000000000004</v>
      </c>
      <c r="R27" s="9">
        <v>0.58499999999999996</v>
      </c>
      <c r="S27" s="8">
        <v>0.57599999999999996</v>
      </c>
      <c r="T27" s="9">
        <v>0.627</v>
      </c>
      <c r="U27" s="8">
        <v>0.51100000000000001</v>
      </c>
      <c r="V27" s="9">
        <v>0.58199999999999996</v>
      </c>
      <c r="W27" s="8">
        <v>0.42199999999999999</v>
      </c>
      <c r="X27" s="9">
        <v>0.505</v>
      </c>
      <c r="Y27" s="8">
        <v>0.55700000000000005</v>
      </c>
      <c r="Z27" s="10">
        <v>0.61299999999999999</v>
      </c>
      <c r="AA27" s="11">
        <f>SMALL((C27,E27,G27,I27,K27,M27,O27,Q27,S27,U27,W27,Y27),2)</f>
        <v>0.40799999999999997</v>
      </c>
      <c r="AB27" s="11">
        <f>SMALL((D27,F27,H27,J27,L27,N27,P27,R27,T27,V27,X27,Z27),2)</f>
        <v>0.437</v>
      </c>
    </row>
    <row r="28" spans="1:28" ht="15" customHeight="1" x14ac:dyDescent="0.25">
      <c r="A28" s="28"/>
      <c r="B28" s="12">
        <v>360</v>
      </c>
      <c r="C28" s="13">
        <v>0.44140000000000001</v>
      </c>
      <c r="D28" s="14">
        <v>0.47889999999999999</v>
      </c>
      <c r="E28" s="13">
        <v>0.48499999999999999</v>
      </c>
      <c r="F28" s="14">
        <v>0.53100000000000003</v>
      </c>
      <c r="G28" s="13">
        <v>0.46500000000000002</v>
      </c>
      <c r="H28" s="14">
        <v>0.51200000000000001</v>
      </c>
      <c r="I28" s="13">
        <v>0.84</v>
      </c>
      <c r="J28" s="14">
        <v>0.70199999999999996</v>
      </c>
      <c r="K28" s="13">
        <v>0.50160000000000005</v>
      </c>
      <c r="L28" s="14">
        <v>0.48899999999999999</v>
      </c>
      <c r="M28" s="13">
        <v>0.47199999999999998</v>
      </c>
      <c r="N28" s="14">
        <v>0.52200000000000002</v>
      </c>
      <c r="O28" s="13">
        <v>0.55100000000000005</v>
      </c>
      <c r="P28" s="14">
        <v>0.51900000000000002</v>
      </c>
      <c r="Q28" s="13">
        <v>0.56599999999999995</v>
      </c>
      <c r="R28" s="14">
        <v>0.60099999999999998</v>
      </c>
      <c r="S28" s="13">
        <v>0.497</v>
      </c>
      <c r="T28" s="14">
        <v>0.56899999999999995</v>
      </c>
      <c r="U28" s="13">
        <v>0.64300000000000002</v>
      </c>
      <c r="V28" s="14">
        <v>0.69399999999999995</v>
      </c>
      <c r="W28" s="13">
        <v>0.51300000000000001</v>
      </c>
      <c r="X28" s="14">
        <v>0.54800000000000004</v>
      </c>
      <c r="Y28" s="13">
        <v>0.6</v>
      </c>
      <c r="Z28" s="18">
        <v>0.63500000000000001</v>
      </c>
      <c r="AA28" s="11">
        <f>SMALL((C28,E28,G28,I28,K28,M28,O28,Q28,S28,U28,W28,Y28),2)</f>
        <v>0.46500000000000002</v>
      </c>
      <c r="AB28" s="11">
        <f>SMALL((D28,F28,H28,J28,L28,N28,P28,R28,T28,V28,X28,Z28),2)</f>
        <v>0.48899999999999999</v>
      </c>
    </row>
    <row r="29" spans="1:28" ht="15" customHeight="1" thickBot="1" x14ac:dyDescent="0.3">
      <c r="A29" s="29"/>
      <c r="B29" s="15" t="s">
        <v>11</v>
      </c>
      <c r="C29" s="16">
        <f>ROUND(AVERAGE(C27:C28),4)</f>
        <v>0.41820000000000002</v>
      </c>
      <c r="D29" s="17">
        <f>ROUND(AVERAGE(D27:D28),4)</f>
        <v>0.45019999999999999</v>
      </c>
      <c r="E29" s="16">
        <f t="shared" ref="E29:Z29" si="11">ROUND(AVERAGE(E27:E28),4)</f>
        <v>0.44650000000000001</v>
      </c>
      <c r="F29" s="17">
        <f t="shared" si="11"/>
        <v>0.48399999999999999</v>
      </c>
      <c r="G29" s="16">
        <f t="shared" si="11"/>
        <v>0.44500000000000001</v>
      </c>
      <c r="H29" s="17">
        <f t="shared" si="11"/>
        <v>0.49399999999999999</v>
      </c>
      <c r="I29" s="16">
        <f t="shared" si="11"/>
        <v>0.74550000000000005</v>
      </c>
      <c r="J29" s="17">
        <f t="shared" si="11"/>
        <v>0.64449999999999996</v>
      </c>
      <c r="K29" s="16">
        <f t="shared" si="11"/>
        <v>0.4607</v>
      </c>
      <c r="L29" s="17">
        <f t="shared" si="11"/>
        <v>0.48480000000000001</v>
      </c>
      <c r="M29" s="16">
        <f t="shared" si="11"/>
        <v>0.45400000000000001</v>
      </c>
      <c r="N29" s="17">
        <f t="shared" si="11"/>
        <v>0.50549999999999995</v>
      </c>
      <c r="O29" s="16">
        <f t="shared" si="11"/>
        <v>0.53900000000000003</v>
      </c>
      <c r="P29" s="17">
        <f t="shared" si="11"/>
        <v>0.51549999999999996</v>
      </c>
      <c r="Q29" s="16">
        <f t="shared" si="11"/>
        <v>0.55700000000000005</v>
      </c>
      <c r="R29" s="17">
        <f t="shared" si="11"/>
        <v>0.59299999999999997</v>
      </c>
      <c r="S29" s="16">
        <f t="shared" si="11"/>
        <v>0.53649999999999998</v>
      </c>
      <c r="T29" s="17">
        <f t="shared" si="11"/>
        <v>0.59799999999999998</v>
      </c>
      <c r="U29" s="16">
        <f t="shared" si="11"/>
        <v>0.57699999999999996</v>
      </c>
      <c r="V29" s="17">
        <f t="shared" si="11"/>
        <v>0.63800000000000001</v>
      </c>
      <c r="W29" s="16">
        <f t="shared" si="11"/>
        <v>0.46750000000000003</v>
      </c>
      <c r="X29" s="17">
        <f t="shared" si="11"/>
        <v>0.52649999999999997</v>
      </c>
      <c r="Y29" s="16">
        <f t="shared" si="11"/>
        <v>0.57850000000000001</v>
      </c>
      <c r="Z29" s="17">
        <f t="shared" si="11"/>
        <v>0.624</v>
      </c>
      <c r="AA29" s="11">
        <f>SMALL((C29,E29,G29,I29,K29,M29,O29,Q29,S29,U29,W29,Y29),2)</f>
        <v>0.44500000000000001</v>
      </c>
      <c r="AB29" s="11">
        <f>SMALL((D29,F29,H29,J29,L29,N29,P29,R29,T29,V29,X29,Z29),2)</f>
        <v>0.48399999999999999</v>
      </c>
    </row>
    <row r="30" spans="1:28" ht="15" customHeight="1" x14ac:dyDescent="0.25">
      <c r="A30" s="27" t="s">
        <v>38</v>
      </c>
      <c r="B30" s="7">
        <v>24</v>
      </c>
      <c r="C30" s="8">
        <v>0.41899999999999998</v>
      </c>
      <c r="D30" s="9">
        <v>0.441</v>
      </c>
      <c r="E30" s="8">
        <v>0.436</v>
      </c>
      <c r="F30" s="9">
        <v>0.46400000000000002</v>
      </c>
      <c r="G30" s="8">
        <v>0.46800000000000003</v>
      </c>
      <c r="H30" s="9">
        <v>0.502</v>
      </c>
      <c r="I30" s="8">
        <v>0.81399999999999995</v>
      </c>
      <c r="J30" s="9">
        <v>0.67300000000000004</v>
      </c>
      <c r="K30" s="8">
        <v>0.42199999999999999</v>
      </c>
      <c r="L30" s="9">
        <v>0.46700000000000003</v>
      </c>
      <c r="M30" s="8">
        <v>0.57799999999999996</v>
      </c>
      <c r="N30" s="9">
        <v>0.55100000000000005</v>
      </c>
      <c r="O30" s="8">
        <v>0.629</v>
      </c>
      <c r="P30" s="9">
        <v>0.56299999999999994</v>
      </c>
      <c r="Q30" s="8">
        <v>0.46800000000000003</v>
      </c>
      <c r="R30" s="9">
        <v>0.54100000000000004</v>
      </c>
      <c r="S30" s="8">
        <v>0.47299999999999998</v>
      </c>
      <c r="T30" s="9">
        <v>0.53300000000000003</v>
      </c>
      <c r="U30" s="8">
        <v>0.57999999999999996</v>
      </c>
      <c r="V30" s="9">
        <v>0.61399999999999999</v>
      </c>
      <c r="W30" s="8">
        <v>0.45700000000000002</v>
      </c>
      <c r="X30" s="9">
        <v>0.52700000000000002</v>
      </c>
      <c r="Y30" s="8">
        <v>0.53300000000000003</v>
      </c>
      <c r="Z30" s="10">
        <v>0.65300000000000002</v>
      </c>
      <c r="AA30" s="11">
        <f>SMALL((C30,E30,G30,I30,K30,M30,O30,Q30,S30,U30,W30,Y30),2)</f>
        <v>0.42199999999999999</v>
      </c>
      <c r="AB30" s="11">
        <f>SMALL((D30,F30,H30,J30,L30,N30,P30,R30,T30,V30,X30,Z30),2)</f>
        <v>0.46400000000000002</v>
      </c>
    </row>
    <row r="31" spans="1:28" ht="15" customHeight="1" x14ac:dyDescent="0.25">
      <c r="A31" s="28"/>
      <c r="B31" s="12">
        <v>360</v>
      </c>
      <c r="C31" s="13">
        <v>0.48499999999999999</v>
      </c>
      <c r="D31" s="14">
        <v>0.48280000000000001</v>
      </c>
      <c r="E31" s="13">
        <v>0.60099999999999998</v>
      </c>
      <c r="F31" s="14">
        <v>0.59</v>
      </c>
      <c r="G31" s="13">
        <v>0.56599999999999995</v>
      </c>
      <c r="H31" s="14">
        <v>0.55600000000000005</v>
      </c>
      <c r="I31" s="13">
        <v>0.96099999999999997</v>
      </c>
      <c r="J31" s="14">
        <v>0.76300000000000001</v>
      </c>
      <c r="K31" s="13">
        <v>0.68600000000000005</v>
      </c>
      <c r="L31" s="14">
        <v>0.55300000000000005</v>
      </c>
      <c r="M31" s="13">
        <v>0.61899999999999999</v>
      </c>
      <c r="N31" s="14">
        <v>0.61399999999999999</v>
      </c>
      <c r="O31" s="13">
        <v>0.66500000000000004</v>
      </c>
      <c r="P31" s="14">
        <v>0.56899999999999995</v>
      </c>
      <c r="Q31" s="13">
        <v>0.60699999999999998</v>
      </c>
      <c r="R31" s="14">
        <v>0.60899999999999999</v>
      </c>
      <c r="S31" s="13">
        <v>0.56899999999999995</v>
      </c>
      <c r="T31" s="14">
        <v>0.628</v>
      </c>
      <c r="U31" s="13">
        <v>0.71299999999999997</v>
      </c>
      <c r="V31" s="14">
        <v>0.72899999999999998</v>
      </c>
      <c r="W31" s="13">
        <v>0.64100000000000001</v>
      </c>
      <c r="X31" s="14">
        <v>0.63200000000000001</v>
      </c>
      <c r="Y31" s="13">
        <v>0.70399999999999996</v>
      </c>
      <c r="Z31" s="18">
        <v>0.67400000000000004</v>
      </c>
      <c r="AA31" s="11">
        <f>SMALL((C31,E31,G31,I31,K31,M31,O31,Q31,S31,U31,W31,Y31),2)</f>
        <v>0.56599999999999995</v>
      </c>
      <c r="AB31" s="11">
        <f>SMALL((D31,F31,H31,J31,L31,N31,P31,R31,T31,V31,X31,Z31),2)</f>
        <v>0.55300000000000005</v>
      </c>
    </row>
    <row r="32" spans="1:28" ht="15" customHeight="1" thickBot="1" x14ac:dyDescent="0.3">
      <c r="A32" s="29"/>
      <c r="B32" s="15" t="s">
        <v>11</v>
      </c>
      <c r="C32" s="16">
        <f>ROUND(AVERAGE(C30:C31),4)</f>
        <v>0.45200000000000001</v>
      </c>
      <c r="D32" s="17">
        <f>ROUND(AVERAGE(D30:D31),4)</f>
        <v>0.46189999999999998</v>
      </c>
      <c r="E32" s="16">
        <f t="shared" ref="E32:Z32" si="12">ROUND(AVERAGE(E30:E31),4)</f>
        <v>0.51849999999999996</v>
      </c>
      <c r="F32" s="17">
        <f t="shared" si="12"/>
        <v>0.52700000000000002</v>
      </c>
      <c r="G32" s="16">
        <f t="shared" si="12"/>
        <v>0.51700000000000002</v>
      </c>
      <c r="H32" s="17">
        <f t="shared" si="12"/>
        <v>0.52900000000000003</v>
      </c>
      <c r="I32" s="16">
        <f t="shared" si="12"/>
        <v>0.88749999999999996</v>
      </c>
      <c r="J32" s="17">
        <f t="shared" si="12"/>
        <v>0.71799999999999997</v>
      </c>
      <c r="K32" s="16">
        <f t="shared" si="12"/>
        <v>0.55400000000000005</v>
      </c>
      <c r="L32" s="17">
        <f t="shared" si="12"/>
        <v>0.51</v>
      </c>
      <c r="M32" s="16">
        <f t="shared" si="12"/>
        <v>0.59850000000000003</v>
      </c>
      <c r="N32" s="17">
        <f t="shared" si="12"/>
        <v>0.58250000000000002</v>
      </c>
      <c r="O32" s="16">
        <f t="shared" si="12"/>
        <v>0.64700000000000002</v>
      </c>
      <c r="P32" s="17">
        <f t="shared" si="12"/>
        <v>0.56599999999999995</v>
      </c>
      <c r="Q32" s="16">
        <f t="shared" si="12"/>
        <v>0.53749999999999998</v>
      </c>
      <c r="R32" s="17">
        <f t="shared" si="12"/>
        <v>0.57499999999999996</v>
      </c>
      <c r="S32" s="16">
        <f t="shared" si="12"/>
        <v>0.52100000000000002</v>
      </c>
      <c r="T32" s="17">
        <f t="shared" si="12"/>
        <v>0.58050000000000002</v>
      </c>
      <c r="U32" s="16">
        <f t="shared" si="12"/>
        <v>0.64649999999999996</v>
      </c>
      <c r="V32" s="17">
        <f t="shared" si="12"/>
        <v>0.67149999999999999</v>
      </c>
      <c r="W32" s="16">
        <f t="shared" si="12"/>
        <v>0.54900000000000004</v>
      </c>
      <c r="X32" s="17">
        <f t="shared" si="12"/>
        <v>0.57950000000000002</v>
      </c>
      <c r="Y32" s="16">
        <f t="shared" si="12"/>
        <v>0.61850000000000005</v>
      </c>
      <c r="Z32" s="17">
        <f t="shared" si="12"/>
        <v>0.66349999999999998</v>
      </c>
      <c r="AA32" s="11">
        <f>SMALL((C32,E32,G32,I32,K32,M32,O32,Q32,S32,U32,W32,Y32),2)</f>
        <v>0.51700000000000002</v>
      </c>
      <c r="AB32" s="11">
        <f>SMALL((D32,F32,H32,J32,L32,N32,P32,R32,T32,V32,X32,Z32),2)</f>
        <v>0.51</v>
      </c>
    </row>
    <row r="33" spans="1:28" ht="15" customHeight="1" x14ac:dyDescent="0.25">
      <c r="A33" s="27" t="s">
        <v>39</v>
      </c>
      <c r="B33" s="7">
        <v>24</v>
      </c>
      <c r="C33" s="8">
        <v>5.5599999999999997E-2</v>
      </c>
      <c r="D33" s="9">
        <v>9.0899999999999995E-2</v>
      </c>
      <c r="E33" s="8">
        <v>6.0999999999999999E-2</v>
      </c>
      <c r="F33" s="9">
        <v>9.4E-2</v>
      </c>
      <c r="G33" s="8">
        <v>6.7000000000000004E-2</v>
      </c>
      <c r="H33" s="9">
        <v>0.11</v>
      </c>
      <c r="I33" s="8">
        <v>0.113</v>
      </c>
      <c r="J33" s="9">
        <v>0.17100000000000001</v>
      </c>
      <c r="K33" s="8">
        <v>9.0999999999999998E-2</v>
      </c>
      <c r="L33" s="9">
        <v>0.13600000000000001</v>
      </c>
      <c r="M33" s="8">
        <v>8.8999999999999996E-2</v>
      </c>
      <c r="N33" s="9">
        <v>0.13100000000000001</v>
      </c>
      <c r="O33" s="8">
        <v>8.8999999999999996E-2</v>
      </c>
      <c r="P33" s="9">
        <v>0.13400000000000001</v>
      </c>
      <c r="Q33" s="8">
        <v>7.0999999999999994E-2</v>
      </c>
      <c r="R33" s="9">
        <v>0.10199999999999999</v>
      </c>
      <c r="S33" s="8">
        <v>7.0999999999999994E-2</v>
      </c>
      <c r="T33" s="9">
        <v>0.121</v>
      </c>
      <c r="U33" s="8">
        <v>6.2E-2</v>
      </c>
      <c r="V33" s="9">
        <v>0.10100000000000001</v>
      </c>
      <c r="W33" s="8">
        <v>6.2E-2</v>
      </c>
      <c r="X33" s="9">
        <v>0.122</v>
      </c>
      <c r="Y33" s="8">
        <v>6.9000000000000006E-2</v>
      </c>
      <c r="Z33" s="10">
        <v>0.151</v>
      </c>
      <c r="AA33" s="11">
        <f>SMALL((C33,E33,G33,I33,K33,M33,O33,Q33,S33,U33,W33,Y33),2)</f>
        <v>6.0999999999999999E-2</v>
      </c>
      <c r="AB33" s="11">
        <f>SMALL((D33,F33,H33,J33,L33,N33,P33,R33,T33,V33,X33,Z33),2)</f>
        <v>9.4E-2</v>
      </c>
    </row>
    <row r="34" spans="1:28" ht="15" customHeight="1" x14ac:dyDescent="0.25">
      <c r="A34" s="28"/>
      <c r="B34" s="12">
        <v>360</v>
      </c>
      <c r="C34" s="13">
        <v>0.1479</v>
      </c>
      <c r="D34" s="14">
        <v>0.2351</v>
      </c>
      <c r="E34" s="13">
        <v>0.151</v>
      </c>
      <c r="F34" s="14">
        <v>0.24</v>
      </c>
      <c r="G34" s="13">
        <v>0.14799999999999999</v>
      </c>
      <c r="H34" s="14">
        <v>0.24099999999999999</v>
      </c>
      <c r="I34" s="13">
        <v>0.17599999999999999</v>
      </c>
      <c r="J34" s="14">
        <v>0.29899999999999999</v>
      </c>
      <c r="K34" s="13">
        <v>0.42499999999999999</v>
      </c>
      <c r="L34" s="14">
        <v>0.47299999999999998</v>
      </c>
      <c r="M34" s="13">
        <v>0.23899999999999999</v>
      </c>
      <c r="N34" s="14">
        <v>0.32100000000000001</v>
      </c>
      <c r="O34" s="13">
        <v>0.309</v>
      </c>
      <c r="P34" s="14">
        <v>0.39800000000000002</v>
      </c>
      <c r="Q34" s="13">
        <v>0.182</v>
      </c>
      <c r="R34" s="14">
        <v>0.28799999999999998</v>
      </c>
      <c r="S34" s="13">
        <v>0.27500000000000002</v>
      </c>
      <c r="T34" s="14">
        <v>0.37</v>
      </c>
      <c r="U34" s="13">
        <v>0.19500000000000001</v>
      </c>
      <c r="V34" s="14">
        <v>0.249</v>
      </c>
      <c r="W34" s="13">
        <v>0.41699999999999998</v>
      </c>
      <c r="X34" s="14">
        <v>0.496</v>
      </c>
      <c r="Y34" s="13">
        <v>0.245</v>
      </c>
      <c r="Z34" s="18">
        <v>0.28499999999999998</v>
      </c>
      <c r="AA34" s="11">
        <f>SMALL((C34,E34,G34,I34,K34,M34,O34,Q34,S34,U34,W34,Y34),2)</f>
        <v>0.14799999999999999</v>
      </c>
      <c r="AB34" s="11">
        <f>SMALL((D34,F34,H34,J34,L34,N34,P34,R34,T34,V34,X34,Z34),2)</f>
        <v>0.24</v>
      </c>
    </row>
    <row r="35" spans="1:28" ht="15" customHeight="1" thickBot="1" x14ac:dyDescent="0.3">
      <c r="A35" s="29"/>
      <c r="B35" s="15" t="s">
        <v>11</v>
      </c>
      <c r="C35" s="16">
        <f>ROUND(AVERAGE(C33:C34),4)</f>
        <v>0.1018</v>
      </c>
      <c r="D35" s="17">
        <f>ROUND(AVERAGE(D33:D34),4)</f>
        <v>0.16300000000000001</v>
      </c>
      <c r="E35" s="16">
        <f t="shared" ref="E35:Z35" si="13">ROUND(AVERAGE(E33:E34),4)</f>
        <v>0.106</v>
      </c>
      <c r="F35" s="17">
        <f t="shared" si="13"/>
        <v>0.16700000000000001</v>
      </c>
      <c r="G35" s="16">
        <f t="shared" si="13"/>
        <v>0.1075</v>
      </c>
      <c r="H35" s="17">
        <f t="shared" si="13"/>
        <v>0.17549999999999999</v>
      </c>
      <c r="I35" s="16">
        <f t="shared" si="13"/>
        <v>0.14449999999999999</v>
      </c>
      <c r="J35" s="17">
        <f t="shared" si="13"/>
        <v>0.23499999999999999</v>
      </c>
      <c r="K35" s="16">
        <f t="shared" si="13"/>
        <v>0.25800000000000001</v>
      </c>
      <c r="L35" s="17">
        <f t="shared" si="13"/>
        <v>0.30449999999999999</v>
      </c>
      <c r="M35" s="16">
        <f t="shared" si="13"/>
        <v>0.16400000000000001</v>
      </c>
      <c r="N35" s="17">
        <f t="shared" si="13"/>
        <v>0.22600000000000001</v>
      </c>
      <c r="O35" s="16">
        <f t="shared" si="13"/>
        <v>0.19900000000000001</v>
      </c>
      <c r="P35" s="17">
        <f t="shared" si="13"/>
        <v>0.26600000000000001</v>
      </c>
      <c r="Q35" s="16">
        <f t="shared" si="13"/>
        <v>0.1265</v>
      </c>
      <c r="R35" s="17">
        <f t="shared" si="13"/>
        <v>0.19500000000000001</v>
      </c>
      <c r="S35" s="16">
        <f t="shared" si="13"/>
        <v>0.17299999999999999</v>
      </c>
      <c r="T35" s="17">
        <f t="shared" si="13"/>
        <v>0.2455</v>
      </c>
      <c r="U35" s="16">
        <f t="shared" si="13"/>
        <v>0.1285</v>
      </c>
      <c r="V35" s="17">
        <f t="shared" si="13"/>
        <v>0.17499999999999999</v>
      </c>
      <c r="W35" s="16">
        <f t="shared" si="13"/>
        <v>0.23949999999999999</v>
      </c>
      <c r="X35" s="17">
        <f t="shared" si="13"/>
        <v>0.309</v>
      </c>
      <c r="Y35" s="16">
        <f t="shared" si="13"/>
        <v>0.157</v>
      </c>
      <c r="Z35" s="17">
        <f t="shared" si="13"/>
        <v>0.218</v>
      </c>
      <c r="AA35" s="11">
        <f>SMALL((C35,E35,G35,I35,K35,M35,O35,Q35,S35,U35,W35,Y35),2)</f>
        <v>0.106</v>
      </c>
      <c r="AB35" s="11">
        <f>SMALL((D35,F35,H35,J35,L35,N35,P35,R35,T35,V35,X35,Z35),2)</f>
        <v>0.16700000000000001</v>
      </c>
    </row>
    <row r="36" spans="1:28" ht="15" customHeight="1" x14ac:dyDescent="0.25">
      <c r="A36" s="27" t="s">
        <v>40</v>
      </c>
      <c r="B36" s="7">
        <v>24</v>
      </c>
      <c r="C36" s="8">
        <v>0.1804</v>
      </c>
      <c r="D36" s="9">
        <v>0.21110000000000001</v>
      </c>
      <c r="E36" s="8">
        <v>0.151</v>
      </c>
      <c r="F36" s="9">
        <v>0.20300000000000001</v>
      </c>
      <c r="G36" s="8">
        <v>0.21299999999999999</v>
      </c>
      <c r="H36" s="9">
        <v>0.23200000000000001</v>
      </c>
      <c r="I36" s="8">
        <v>0.30099999999999999</v>
      </c>
      <c r="J36" s="9">
        <v>0.308</v>
      </c>
      <c r="K36" s="8">
        <v>0.21299999999999999</v>
      </c>
      <c r="L36" s="9">
        <v>0.249</v>
      </c>
      <c r="M36" s="8">
        <v>0.22900000000000001</v>
      </c>
      <c r="N36" s="9">
        <v>0.27100000000000002</v>
      </c>
      <c r="O36" s="8">
        <v>0.17399999999999999</v>
      </c>
      <c r="P36" s="9">
        <v>0.218</v>
      </c>
      <c r="Q36" s="8">
        <v>0.16300000000000001</v>
      </c>
      <c r="R36" s="9">
        <v>0.20899999999999999</v>
      </c>
      <c r="S36" s="8">
        <v>0.18099999999999999</v>
      </c>
      <c r="T36" s="9">
        <v>0.22600000000000001</v>
      </c>
      <c r="U36" s="8">
        <v>0.17399999999999999</v>
      </c>
      <c r="V36" s="9">
        <v>0.23100000000000001</v>
      </c>
      <c r="W36" s="8">
        <v>0.16300000000000001</v>
      </c>
      <c r="X36" s="9">
        <v>0.218</v>
      </c>
      <c r="Y36" s="8">
        <v>0.184</v>
      </c>
      <c r="Z36" s="10">
        <v>0.23899999999999999</v>
      </c>
      <c r="AA36" s="11">
        <f>SMALL((C36,E36,G36,I36,K36,M36,O36,Q36,S36,U36,W36,Y36),2)</f>
        <v>0.16300000000000001</v>
      </c>
      <c r="AB36" s="11">
        <f>SMALL((D36,F36,H36,J36,L36,N36,P36,R36,T36,V36,X36,Z36),2)</f>
        <v>0.20899999999999999</v>
      </c>
    </row>
    <row r="37" spans="1:28" ht="15" customHeight="1" x14ac:dyDescent="0.25">
      <c r="A37" s="28"/>
      <c r="B37" s="12">
        <v>360</v>
      </c>
      <c r="C37" s="13">
        <v>0.2737</v>
      </c>
      <c r="D37" s="14">
        <v>0.32800000000000001</v>
      </c>
      <c r="E37" s="13">
        <v>0.309</v>
      </c>
      <c r="F37" s="14">
        <v>0.40699999999999997</v>
      </c>
      <c r="G37" s="13">
        <v>0.40100000000000002</v>
      </c>
      <c r="H37" s="14">
        <v>0.38200000000000001</v>
      </c>
      <c r="I37" s="13">
        <v>0.38500000000000001</v>
      </c>
      <c r="J37" s="14">
        <v>0.41199999999999998</v>
      </c>
      <c r="K37" s="13">
        <v>0.40699999999999997</v>
      </c>
      <c r="L37" s="14">
        <v>0.436</v>
      </c>
      <c r="M37" s="13">
        <v>0.41</v>
      </c>
      <c r="N37" s="14">
        <v>0.43099999999999999</v>
      </c>
      <c r="O37" s="13">
        <v>0.36499999999999999</v>
      </c>
      <c r="P37" s="14">
        <v>0.433</v>
      </c>
      <c r="Q37" s="13">
        <v>0.33200000000000002</v>
      </c>
      <c r="R37" s="14">
        <v>0.41099999999999998</v>
      </c>
      <c r="S37" s="13">
        <v>0.33300000000000002</v>
      </c>
      <c r="T37" s="14">
        <v>0.41599999999999998</v>
      </c>
      <c r="U37" s="13">
        <v>0.32600000000000001</v>
      </c>
      <c r="V37" s="14">
        <v>0.39</v>
      </c>
      <c r="W37" s="13">
        <v>0.374</v>
      </c>
      <c r="X37" s="14">
        <v>0.44500000000000001</v>
      </c>
      <c r="Y37" s="13">
        <v>0.316</v>
      </c>
      <c r="Z37" s="18">
        <v>0.41</v>
      </c>
      <c r="AA37" s="11">
        <f>SMALL((C37,E37,G37,I37,K37,M37,O37,Q37,S37,U37,W37,Y37),2)</f>
        <v>0.309</v>
      </c>
      <c r="AB37" s="11">
        <f>SMALL((D37,F37,H37,J37,L37,N37,P37,R37,T37,V37,X37,Z37),2)</f>
        <v>0.38200000000000001</v>
      </c>
    </row>
    <row r="38" spans="1:28" ht="15" customHeight="1" thickBot="1" x14ac:dyDescent="0.3">
      <c r="A38" s="30"/>
      <c r="B38" s="15" t="s">
        <v>11</v>
      </c>
      <c r="C38" s="16">
        <f>ROUND(AVERAGE(C36:C37),4)</f>
        <v>0.2271</v>
      </c>
      <c r="D38" s="17">
        <f>ROUND(AVERAGE(D36:D37),4)</f>
        <v>0.26960000000000001</v>
      </c>
      <c r="E38" s="16">
        <f t="shared" ref="E38:Z38" si="14">ROUND(AVERAGE(E36:E37),4)</f>
        <v>0.23</v>
      </c>
      <c r="F38" s="17">
        <f t="shared" si="14"/>
        <v>0.30499999999999999</v>
      </c>
      <c r="G38" s="16">
        <f t="shared" si="14"/>
        <v>0.307</v>
      </c>
      <c r="H38" s="17">
        <f t="shared" si="14"/>
        <v>0.307</v>
      </c>
      <c r="I38" s="16">
        <f t="shared" si="14"/>
        <v>0.34300000000000003</v>
      </c>
      <c r="J38" s="17">
        <f t="shared" si="14"/>
        <v>0.36</v>
      </c>
      <c r="K38" s="16">
        <f t="shared" si="14"/>
        <v>0.31</v>
      </c>
      <c r="L38" s="17">
        <f t="shared" si="14"/>
        <v>0.34250000000000003</v>
      </c>
      <c r="M38" s="16">
        <f t="shared" si="14"/>
        <v>0.31950000000000001</v>
      </c>
      <c r="N38" s="17">
        <f t="shared" si="14"/>
        <v>0.35099999999999998</v>
      </c>
      <c r="O38" s="16">
        <f t="shared" si="14"/>
        <v>0.26950000000000002</v>
      </c>
      <c r="P38" s="17">
        <f t="shared" si="14"/>
        <v>0.32550000000000001</v>
      </c>
      <c r="Q38" s="16">
        <f t="shared" si="14"/>
        <v>0.2475</v>
      </c>
      <c r="R38" s="17">
        <f t="shared" si="14"/>
        <v>0.31</v>
      </c>
      <c r="S38" s="16">
        <f t="shared" si="14"/>
        <v>0.25700000000000001</v>
      </c>
      <c r="T38" s="17">
        <f t="shared" si="14"/>
        <v>0.32100000000000001</v>
      </c>
      <c r="U38" s="16">
        <f t="shared" si="14"/>
        <v>0.25</v>
      </c>
      <c r="V38" s="17">
        <f t="shared" si="14"/>
        <v>0.3105</v>
      </c>
      <c r="W38" s="16">
        <f t="shared" si="14"/>
        <v>0.26850000000000002</v>
      </c>
      <c r="X38" s="17">
        <f t="shared" si="14"/>
        <v>0.33150000000000002</v>
      </c>
      <c r="Y38" s="16">
        <f t="shared" si="14"/>
        <v>0.25</v>
      </c>
      <c r="Z38" s="17">
        <f t="shared" si="14"/>
        <v>0.32450000000000001</v>
      </c>
      <c r="AA38" s="11">
        <f>SMALL((C38,E38,G38,I38,K38,M38,O38,Q38,S38,U38,W38,Y38),2)</f>
        <v>0.23</v>
      </c>
      <c r="AB38" s="11">
        <f>SMALL((D38,F38,H38,J38,L38,N38,P38,R38,T38,V38,X38,Z38),2)</f>
        <v>0.30499999999999999</v>
      </c>
    </row>
    <row r="39" spans="1:28" ht="16.5" thickBot="1" x14ac:dyDescent="0.35">
      <c r="A39" s="31" t="s">
        <v>41</v>
      </c>
      <c r="B39" s="32"/>
      <c r="C39" s="22">
        <v>51</v>
      </c>
      <c r="D39" s="22"/>
      <c r="E39" s="21">
        <v>0</v>
      </c>
      <c r="F39" s="21"/>
      <c r="G39" s="21">
        <v>3</v>
      </c>
      <c r="H39" s="21"/>
      <c r="I39" s="21">
        <v>0</v>
      </c>
      <c r="J39" s="21"/>
      <c r="K39" s="21">
        <v>0</v>
      </c>
      <c r="L39" s="21"/>
      <c r="M39" s="21">
        <v>1</v>
      </c>
      <c r="N39" s="21"/>
      <c r="O39" s="21">
        <v>3</v>
      </c>
      <c r="P39" s="21"/>
      <c r="Q39" s="21">
        <v>0</v>
      </c>
      <c r="R39" s="21"/>
      <c r="S39" s="21">
        <v>5</v>
      </c>
      <c r="T39" s="21"/>
      <c r="U39" s="23">
        <v>6</v>
      </c>
      <c r="V39" s="23"/>
      <c r="W39" s="21">
        <v>0</v>
      </c>
      <c r="X39" s="21"/>
      <c r="Y39" s="21">
        <v>1</v>
      </c>
      <c r="Z39" s="21"/>
    </row>
  </sheetData>
  <mergeCells count="27">
    <mergeCell ref="A2:B2"/>
    <mergeCell ref="A3:A5"/>
    <mergeCell ref="A6:A8"/>
    <mergeCell ref="A9:A11"/>
    <mergeCell ref="M1:N1"/>
    <mergeCell ref="A1:B1"/>
    <mergeCell ref="C1:D1"/>
    <mergeCell ref="E1:F1"/>
    <mergeCell ref="G1:H1"/>
    <mergeCell ref="K1:L1"/>
    <mergeCell ref="I1:J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B39"/>
    <mergeCell ref="Y1:Z1"/>
    <mergeCell ref="O1:P1"/>
    <mergeCell ref="Q1:R1"/>
    <mergeCell ref="S1:T1"/>
    <mergeCell ref="U1:V1"/>
    <mergeCell ref="W1:X1"/>
  </mergeCells>
  <phoneticPr fontId="1" type="noConversion"/>
  <conditionalFormatting sqref="C3:C38 E3:E38 G3:G38 I3:I38 K3:K38 M3:M38 O3:O38 Q3:Q38 S3:S38 U3:U38 W3:W38 Y3:Y38">
    <cfRule type="expression" dxfId="11" priority="2">
      <formula>C3=$AA3</formula>
    </cfRule>
    <cfRule type="expression" dxfId="10" priority="4">
      <formula>C3=MIN($C3,$E3,$G3,$I3,$K3,$M3,$O3,$Q3,$S3,$U3,$W3,$Y3)</formula>
    </cfRule>
  </conditionalFormatting>
  <conditionalFormatting sqref="D3:D38 F3:F38 H3:H38 J3:J38 L3:L38 N3:N38 P3:P38 R3:R38 T3:T38 V3:V38 X3:X38 Z3:Z38">
    <cfRule type="expression" dxfId="9" priority="1">
      <formula>D3=$AB3</formula>
    </cfRule>
    <cfRule type="expression" dxfId="8" priority="3">
      <formula>D3=MIN($D3,$F3,$H3,$J3,$L3,$N3,$P3,$R3,$T3,$V3,$X3,$Z3)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FD2D-09CD-48E4-AF0C-502323F9C9AF}">
  <dimension ref="A1:AB39"/>
  <sheetViews>
    <sheetView tabSelected="1" zoomScaleNormal="100" workbookViewId="0">
      <selection activeCell="E13" sqref="E13"/>
    </sheetView>
  </sheetViews>
  <sheetFormatPr defaultColWidth="9" defaultRowHeight="14" x14ac:dyDescent="0.25"/>
  <cols>
    <col min="1" max="1" width="4.08984375" customWidth="1"/>
    <col min="2" max="2" width="6.7265625" customWidth="1"/>
    <col min="4" max="4" width="9.1796875" bestFit="1" customWidth="1"/>
  </cols>
  <sheetData>
    <row r="1" spans="1:28" ht="14.5" customHeight="1" thickBot="1" x14ac:dyDescent="0.3">
      <c r="A1" s="34" t="s">
        <v>5</v>
      </c>
      <c r="B1" s="34"/>
      <c r="C1" s="35" t="s">
        <v>20</v>
      </c>
      <c r="D1" s="35"/>
      <c r="E1" s="26" t="s">
        <v>21</v>
      </c>
      <c r="F1" s="26"/>
      <c r="G1" s="26" t="s">
        <v>42</v>
      </c>
      <c r="H1" s="26"/>
      <c r="I1" s="26" t="s">
        <v>22</v>
      </c>
      <c r="J1" s="26"/>
      <c r="K1" s="26" t="s">
        <v>23</v>
      </c>
      <c r="L1" s="26"/>
      <c r="M1" s="26" t="s">
        <v>24</v>
      </c>
      <c r="N1" s="26"/>
      <c r="O1" s="26" t="s">
        <v>25</v>
      </c>
      <c r="P1" s="26"/>
      <c r="Q1" s="26" t="s">
        <v>26</v>
      </c>
      <c r="R1" s="26"/>
      <c r="S1" s="26" t="s">
        <v>27</v>
      </c>
      <c r="T1" s="26"/>
      <c r="U1" s="26" t="s">
        <v>28</v>
      </c>
      <c r="V1" s="26"/>
      <c r="W1" s="26" t="s">
        <v>6</v>
      </c>
      <c r="X1" s="26"/>
      <c r="Y1" s="26" t="s">
        <v>29</v>
      </c>
      <c r="Z1" s="26"/>
      <c r="AA1" s="3"/>
      <c r="AB1" s="3"/>
    </row>
    <row r="2" spans="1:28" ht="14.5" thickBot="1" x14ac:dyDescent="0.3">
      <c r="A2" s="33" t="s">
        <v>57</v>
      </c>
      <c r="B2" s="33"/>
      <c r="C2" s="5" t="s">
        <v>7</v>
      </c>
      <c r="D2" s="2" t="s">
        <v>8</v>
      </c>
      <c r="E2" s="4" t="s">
        <v>7</v>
      </c>
      <c r="F2" s="4" t="s">
        <v>8</v>
      </c>
      <c r="G2" s="4" t="s">
        <v>7</v>
      </c>
      <c r="H2" s="4" t="s">
        <v>8</v>
      </c>
      <c r="I2" s="4" t="s">
        <v>7</v>
      </c>
      <c r="J2" s="4" t="s">
        <v>8</v>
      </c>
      <c r="K2" s="4" t="s">
        <v>7</v>
      </c>
      <c r="L2" s="4" t="s">
        <v>8</v>
      </c>
      <c r="M2" s="4" t="s">
        <v>7</v>
      </c>
      <c r="N2" s="4" t="s">
        <v>8</v>
      </c>
      <c r="O2" s="4" t="s">
        <v>7</v>
      </c>
      <c r="P2" s="4" t="s">
        <v>8</v>
      </c>
      <c r="Q2" s="4" t="s">
        <v>7</v>
      </c>
      <c r="R2" s="4" t="s">
        <v>8</v>
      </c>
      <c r="S2" s="4" t="s">
        <v>7</v>
      </c>
      <c r="T2" s="4" t="s">
        <v>8</v>
      </c>
      <c r="U2" s="4" t="s">
        <v>7</v>
      </c>
      <c r="V2" s="4" t="s">
        <v>8</v>
      </c>
      <c r="W2" s="4" t="s">
        <v>7</v>
      </c>
      <c r="X2" s="4" t="s">
        <v>8</v>
      </c>
      <c r="Y2" s="4" t="s">
        <v>7</v>
      </c>
      <c r="Z2" s="4" t="s">
        <v>8</v>
      </c>
      <c r="AA2" s="6" t="s">
        <v>9</v>
      </c>
      <c r="AB2" s="6" t="s">
        <v>10</v>
      </c>
    </row>
    <row r="3" spans="1:28" ht="15" customHeight="1" x14ac:dyDescent="0.25">
      <c r="A3" s="27" t="s">
        <v>1</v>
      </c>
      <c r="B3" s="7">
        <v>24</v>
      </c>
      <c r="C3" s="8">
        <v>0.23699999999999999</v>
      </c>
      <c r="D3" s="9">
        <v>0.25729999999999997</v>
      </c>
      <c r="E3" s="8">
        <v>0.2374</v>
      </c>
      <c r="F3" s="9">
        <v>0.25900000000000001</v>
      </c>
      <c r="G3" s="8">
        <v>0.24</v>
      </c>
      <c r="H3" s="9">
        <v>0.26</v>
      </c>
      <c r="I3" s="8">
        <v>0.27</v>
      </c>
      <c r="J3" s="9">
        <v>0.29199999999999998</v>
      </c>
      <c r="K3" s="8">
        <v>0.33</v>
      </c>
      <c r="L3" s="9">
        <v>0.32</v>
      </c>
      <c r="M3" s="8">
        <v>0.29299999999999998</v>
      </c>
      <c r="N3" s="9">
        <v>0.307</v>
      </c>
      <c r="O3" s="8">
        <v>0.26</v>
      </c>
      <c r="P3" s="9">
        <v>0.27100000000000002</v>
      </c>
      <c r="Q3" s="8">
        <v>0.246</v>
      </c>
      <c r="R3" s="9">
        <v>0.28199999999999997</v>
      </c>
      <c r="S3" s="8">
        <v>0.30199999999999999</v>
      </c>
      <c r="T3" s="9">
        <v>0.32100000000000001</v>
      </c>
      <c r="U3" s="8">
        <v>0.33600000000000002</v>
      </c>
      <c r="V3" s="9">
        <v>0.34399999999999997</v>
      </c>
      <c r="W3" s="8">
        <v>0.28299999999999997</v>
      </c>
      <c r="X3" s="9">
        <v>0.29599999999999999</v>
      </c>
      <c r="Y3" s="8">
        <v>0.29399999999999998</v>
      </c>
      <c r="Z3" s="10">
        <v>0.308</v>
      </c>
      <c r="AA3" s="11">
        <f>SMALL((C3,E3,G3,I3,K3,M3,O3,Q3,S3,U3,W3,Y3),2)</f>
        <v>0.2374</v>
      </c>
      <c r="AB3" s="11">
        <f>SMALL((D3,F3,H3,J3,L3,N3,P3,R3,T3,V3,X3,Z3),2)</f>
        <v>0.25900000000000001</v>
      </c>
    </row>
    <row r="4" spans="1:28" ht="15" customHeight="1" x14ac:dyDescent="0.25">
      <c r="A4" s="28"/>
      <c r="B4" s="12">
        <v>360</v>
      </c>
      <c r="C4" s="13">
        <v>0.62460000000000004</v>
      </c>
      <c r="D4" s="14">
        <v>0.48399999999999999</v>
      </c>
      <c r="E4" s="13">
        <v>0.60099999999999998</v>
      </c>
      <c r="F4" s="14">
        <v>0.5</v>
      </c>
      <c r="G4" s="13">
        <v>0.62</v>
      </c>
      <c r="H4" s="14">
        <v>0.502</v>
      </c>
      <c r="I4" s="13">
        <v>0.60899999999999999</v>
      </c>
      <c r="J4" s="14">
        <v>0.47399999999999998</v>
      </c>
      <c r="K4" s="13">
        <v>0.96399999999999997</v>
      </c>
      <c r="L4" s="14">
        <v>0.65500000000000003</v>
      </c>
      <c r="M4" s="13">
        <v>0.63800000000000001</v>
      </c>
      <c r="N4" s="14">
        <v>0.52300000000000002</v>
      </c>
      <c r="O4" s="13">
        <v>0.625</v>
      </c>
      <c r="P4" s="14">
        <v>0.49399999999999999</v>
      </c>
      <c r="Q4" s="13">
        <v>0.65500000000000003</v>
      </c>
      <c r="R4" s="14">
        <v>0.505</v>
      </c>
      <c r="S4" s="13">
        <v>0.73799999999999999</v>
      </c>
      <c r="T4" s="14">
        <v>0.57399999999999995</v>
      </c>
      <c r="U4" s="13">
        <v>0.63200000000000001</v>
      </c>
      <c r="V4" s="14">
        <v>0.52700000000000002</v>
      </c>
      <c r="W4" s="13">
        <v>0.63</v>
      </c>
      <c r="X4" s="14">
        <v>0.505</v>
      </c>
      <c r="Y4" s="13">
        <v>0.64700000000000002</v>
      </c>
      <c r="Z4" s="18">
        <v>0.53700000000000003</v>
      </c>
      <c r="AA4" s="11">
        <f>SMALL((C4,E4,G4,I4,K4,M4,O4,Q4,S4,U4,W4,Y4),2)</f>
        <v>0.60899999999999999</v>
      </c>
      <c r="AB4" s="11">
        <f>SMALL((D4,F4,H4,J4,L4,N4,P4,R4,T4,V4,X4,Z4),2)</f>
        <v>0.48399999999999999</v>
      </c>
    </row>
    <row r="5" spans="1:28" ht="15" customHeight="1" thickBot="1" x14ac:dyDescent="0.3">
      <c r="A5" s="29"/>
      <c r="B5" s="15" t="s">
        <v>11</v>
      </c>
      <c r="C5" s="16">
        <f t="shared" ref="C5:Z5" si="0">ROUND(AVERAGE(C3:C4),4)</f>
        <v>0.43080000000000002</v>
      </c>
      <c r="D5" s="17">
        <f t="shared" si="0"/>
        <v>0.37069999999999997</v>
      </c>
      <c r="E5" s="16">
        <f t="shared" si="0"/>
        <v>0.41920000000000002</v>
      </c>
      <c r="F5" s="17">
        <f t="shared" si="0"/>
        <v>0.3795</v>
      </c>
      <c r="G5" s="16">
        <f t="shared" si="0"/>
        <v>0.43</v>
      </c>
      <c r="H5" s="17">
        <f t="shared" si="0"/>
        <v>0.38100000000000001</v>
      </c>
      <c r="I5" s="16">
        <f t="shared" si="0"/>
        <v>0.4395</v>
      </c>
      <c r="J5" s="17">
        <f t="shared" si="0"/>
        <v>0.38300000000000001</v>
      </c>
      <c r="K5" s="16">
        <f t="shared" si="0"/>
        <v>0.64700000000000002</v>
      </c>
      <c r="L5" s="17">
        <f t="shared" si="0"/>
        <v>0.48749999999999999</v>
      </c>
      <c r="M5" s="16">
        <f t="shared" si="0"/>
        <v>0.46550000000000002</v>
      </c>
      <c r="N5" s="17">
        <f t="shared" si="0"/>
        <v>0.41499999999999998</v>
      </c>
      <c r="O5" s="16">
        <f t="shared" si="0"/>
        <v>0.4425</v>
      </c>
      <c r="P5" s="17">
        <f t="shared" si="0"/>
        <v>0.38250000000000001</v>
      </c>
      <c r="Q5" s="16">
        <f t="shared" si="0"/>
        <v>0.45050000000000001</v>
      </c>
      <c r="R5" s="17">
        <f t="shared" si="0"/>
        <v>0.39350000000000002</v>
      </c>
      <c r="S5" s="16">
        <f t="shared" si="0"/>
        <v>0.52</v>
      </c>
      <c r="T5" s="17">
        <f t="shared" si="0"/>
        <v>0.44750000000000001</v>
      </c>
      <c r="U5" s="16">
        <f t="shared" si="0"/>
        <v>0.48399999999999999</v>
      </c>
      <c r="V5" s="17">
        <f t="shared" si="0"/>
        <v>0.4355</v>
      </c>
      <c r="W5" s="16">
        <f t="shared" si="0"/>
        <v>0.45650000000000002</v>
      </c>
      <c r="X5" s="17">
        <f t="shared" si="0"/>
        <v>0.40050000000000002</v>
      </c>
      <c r="Y5" s="16">
        <f t="shared" si="0"/>
        <v>0.47049999999999997</v>
      </c>
      <c r="Z5" s="17">
        <f t="shared" si="0"/>
        <v>0.42249999999999999</v>
      </c>
      <c r="AA5" s="11">
        <f>SMALL((C5,E5,G5,I5,K5,M5,O5,Q5,S5,U5,W5,Y5),2)</f>
        <v>0.43</v>
      </c>
      <c r="AB5" s="11">
        <f>SMALL((D5,F5,H5,J5,L5,N5,P5,R5,T5,V5,X5,Z5),2)</f>
        <v>0.3795</v>
      </c>
    </row>
    <row r="6" spans="1:28" ht="15" customHeight="1" x14ac:dyDescent="0.25">
      <c r="A6" s="27" t="s">
        <v>30</v>
      </c>
      <c r="B6" s="7">
        <v>24</v>
      </c>
      <c r="C6" s="8">
        <v>7.0999999999999994E-2</v>
      </c>
      <c r="D6" s="9">
        <v>0.161</v>
      </c>
      <c r="E6" s="8">
        <v>7.1999999999999995E-2</v>
      </c>
      <c r="F6" s="9">
        <v>0.16139999999999999</v>
      </c>
      <c r="G6" s="8">
        <v>7.2999999999999995E-2</v>
      </c>
      <c r="H6" s="9">
        <v>0.16300000000000001</v>
      </c>
      <c r="I6" s="8">
        <v>9.6000000000000002E-2</v>
      </c>
      <c r="J6" s="9">
        <v>0.191</v>
      </c>
      <c r="K6" s="8">
        <v>0.129</v>
      </c>
      <c r="L6" s="9">
        <v>0.23</v>
      </c>
      <c r="M6" s="8">
        <v>0.104</v>
      </c>
      <c r="N6" s="9">
        <v>0.21199999999999999</v>
      </c>
      <c r="O6" s="8">
        <v>8.1000000000000003E-2</v>
      </c>
      <c r="P6" s="9">
        <v>0.17499999999999999</v>
      </c>
      <c r="Q6" s="8">
        <v>9.6000000000000002E-2</v>
      </c>
      <c r="R6" s="9">
        <v>0.19800000000000001</v>
      </c>
      <c r="S6" s="8">
        <v>9.2999999999999999E-2</v>
      </c>
      <c r="T6" s="9">
        <v>0.19500000000000001</v>
      </c>
      <c r="U6" s="8">
        <v>0.13</v>
      </c>
      <c r="V6" s="9">
        <v>0.23599999999999999</v>
      </c>
      <c r="W6" s="8">
        <v>0.106</v>
      </c>
      <c r="X6" s="9">
        <v>0.21199999999999999</v>
      </c>
      <c r="Y6" s="8">
        <v>0.109</v>
      </c>
      <c r="Z6" s="10">
        <v>0.215</v>
      </c>
      <c r="AA6" s="11">
        <f>SMALL((C6,E6,G6,I6,K6,M6,O6,Q6,S6,U6,W6,Y6),2)</f>
        <v>7.1999999999999995E-2</v>
      </c>
      <c r="AB6" s="11">
        <f>SMALL((D6,F6,H6,J6,L6,N6,P6,R6,T6,V6,X6,Z6),2)</f>
        <v>0.16139999999999999</v>
      </c>
    </row>
    <row r="7" spans="1:28" ht="15" customHeight="1" x14ac:dyDescent="0.25">
      <c r="A7" s="28"/>
      <c r="B7" s="12">
        <v>360</v>
      </c>
      <c r="C7" s="13">
        <v>0.188</v>
      </c>
      <c r="D7" s="14">
        <v>0.25800000000000001</v>
      </c>
      <c r="E7" s="13">
        <v>0.18</v>
      </c>
      <c r="F7" s="14">
        <v>0.25940000000000002</v>
      </c>
      <c r="G7" s="13">
        <v>0.19</v>
      </c>
      <c r="H7" s="14">
        <v>0.26900000000000002</v>
      </c>
      <c r="I7" s="13">
        <v>0.186</v>
      </c>
      <c r="J7" s="14">
        <v>0.26700000000000002</v>
      </c>
      <c r="K7" s="13">
        <v>0.27</v>
      </c>
      <c r="L7" s="14">
        <v>0.31</v>
      </c>
      <c r="M7" s="13">
        <v>0.21099999999999999</v>
      </c>
      <c r="N7" s="14">
        <v>0.29199999999999998</v>
      </c>
      <c r="O7" s="13">
        <v>0.19800000000000001</v>
      </c>
      <c r="P7" s="14">
        <v>0.27200000000000002</v>
      </c>
      <c r="Q7" s="13">
        <v>0.19700000000000001</v>
      </c>
      <c r="R7" s="14">
        <v>0.28299999999999997</v>
      </c>
      <c r="S7" s="13">
        <v>0.21</v>
      </c>
      <c r="T7" s="14">
        <v>0.29399999999999998</v>
      </c>
      <c r="U7" s="13">
        <v>0.219</v>
      </c>
      <c r="V7" s="14">
        <v>0.30399999999999999</v>
      </c>
      <c r="W7" s="13">
        <v>0.189</v>
      </c>
      <c r="X7" s="14">
        <v>0.27300000000000002</v>
      </c>
      <c r="Y7" s="13">
        <v>0.19900000000000001</v>
      </c>
      <c r="Z7" s="18">
        <v>0.28499999999999998</v>
      </c>
      <c r="AA7" s="11">
        <f>SMALL((C7,E7,G7,I7,K7,M7,O7,Q7,S7,U7,W7,Y7),2)</f>
        <v>0.186</v>
      </c>
      <c r="AB7" s="11">
        <f>SMALL((D7,F7,H7,J7,L7,N7,P7,R7,T7,V7,X7,Z7),2)</f>
        <v>0.25940000000000002</v>
      </c>
    </row>
    <row r="8" spans="1:28" ht="15" customHeight="1" thickBot="1" x14ac:dyDescent="0.3">
      <c r="A8" s="29"/>
      <c r="B8" s="15" t="s">
        <v>11</v>
      </c>
      <c r="C8" s="16">
        <f t="shared" ref="C8:Z8" si="1">ROUND(AVERAGE(C6:C7),4)</f>
        <v>0.1295</v>
      </c>
      <c r="D8" s="17">
        <f t="shared" si="1"/>
        <v>0.20949999999999999</v>
      </c>
      <c r="E8" s="16">
        <f t="shared" si="1"/>
        <v>0.126</v>
      </c>
      <c r="F8" s="17">
        <f t="shared" si="1"/>
        <v>0.2104</v>
      </c>
      <c r="G8" s="16">
        <f t="shared" si="1"/>
        <v>0.13150000000000001</v>
      </c>
      <c r="H8" s="17">
        <f t="shared" si="1"/>
        <v>0.216</v>
      </c>
      <c r="I8" s="16">
        <f t="shared" si="1"/>
        <v>0.14099999999999999</v>
      </c>
      <c r="J8" s="17">
        <f t="shared" si="1"/>
        <v>0.22900000000000001</v>
      </c>
      <c r="K8" s="16">
        <f t="shared" si="1"/>
        <v>0.19950000000000001</v>
      </c>
      <c r="L8" s="17">
        <f t="shared" si="1"/>
        <v>0.27</v>
      </c>
      <c r="M8" s="16">
        <f t="shared" si="1"/>
        <v>0.1575</v>
      </c>
      <c r="N8" s="17">
        <f t="shared" si="1"/>
        <v>0.252</v>
      </c>
      <c r="O8" s="16">
        <f t="shared" si="1"/>
        <v>0.13950000000000001</v>
      </c>
      <c r="P8" s="17">
        <f t="shared" si="1"/>
        <v>0.2235</v>
      </c>
      <c r="Q8" s="16">
        <f t="shared" si="1"/>
        <v>0.14649999999999999</v>
      </c>
      <c r="R8" s="17">
        <f t="shared" si="1"/>
        <v>0.24049999999999999</v>
      </c>
      <c r="S8" s="16">
        <f t="shared" si="1"/>
        <v>0.1515</v>
      </c>
      <c r="T8" s="17">
        <f t="shared" si="1"/>
        <v>0.2445</v>
      </c>
      <c r="U8" s="16">
        <f t="shared" si="1"/>
        <v>0.17449999999999999</v>
      </c>
      <c r="V8" s="17">
        <f t="shared" si="1"/>
        <v>0.27</v>
      </c>
      <c r="W8" s="16">
        <f t="shared" si="1"/>
        <v>0.14749999999999999</v>
      </c>
      <c r="X8" s="17">
        <f t="shared" si="1"/>
        <v>0.24249999999999999</v>
      </c>
      <c r="Y8" s="16">
        <f t="shared" si="1"/>
        <v>0.154</v>
      </c>
      <c r="Z8" s="17">
        <f t="shared" si="1"/>
        <v>0.25</v>
      </c>
      <c r="AA8" s="11">
        <f>SMALL((C8,E8,G8,I8,K8,M8,O8,Q8,S8,U8,W8,Y8),2)</f>
        <v>0.1295</v>
      </c>
      <c r="AB8" s="11">
        <f>SMALL((D8,F8,H8,J8,L8,N8,P8,R8,T8,V8,X8,Z8),2)</f>
        <v>0.2104</v>
      </c>
    </row>
    <row r="9" spans="1:28" ht="15" customHeight="1" x14ac:dyDescent="0.25">
      <c r="A9" s="27" t="s">
        <v>31</v>
      </c>
      <c r="B9" s="7">
        <v>24</v>
      </c>
      <c r="C9" s="8">
        <v>0.36399999999999999</v>
      </c>
      <c r="D9" s="9">
        <v>0.24310000000000001</v>
      </c>
      <c r="E9" s="8">
        <v>0.376</v>
      </c>
      <c r="F9" s="9">
        <v>0.24399999999999999</v>
      </c>
      <c r="G9" s="8">
        <v>0.36599999999999999</v>
      </c>
      <c r="H9" s="9">
        <v>0.25800000000000001</v>
      </c>
      <c r="I9" s="8">
        <v>0.39200000000000002</v>
      </c>
      <c r="J9" s="9">
        <v>0.253</v>
      </c>
      <c r="K9" s="8">
        <v>0.4</v>
      </c>
      <c r="L9" s="9">
        <v>0.26700000000000002</v>
      </c>
      <c r="M9" s="8">
        <v>0.49099999999999999</v>
      </c>
      <c r="N9" s="9">
        <v>0.32200000000000001</v>
      </c>
      <c r="O9" s="8">
        <v>0.375</v>
      </c>
      <c r="P9" s="9">
        <v>0.253</v>
      </c>
      <c r="Q9" s="8">
        <v>0.38900000000000001</v>
      </c>
      <c r="R9" s="9">
        <v>0.253</v>
      </c>
      <c r="S9" s="8">
        <v>0.41699999999999998</v>
      </c>
      <c r="T9" s="9">
        <v>0.28299999999999997</v>
      </c>
      <c r="U9" s="8">
        <v>0.42399999999999999</v>
      </c>
      <c r="V9" s="9">
        <v>0.28000000000000003</v>
      </c>
      <c r="W9" s="8">
        <v>0.40500000000000003</v>
      </c>
      <c r="X9" s="9">
        <v>0.26400000000000001</v>
      </c>
      <c r="Y9" s="8">
        <v>0.45300000000000001</v>
      </c>
      <c r="Z9" s="10">
        <v>0.308</v>
      </c>
      <c r="AA9" s="11">
        <f>SMALL((C9,E9,G9,I9,K9,M9,O9,Q9,S9,U9,W9,Y9),2)</f>
        <v>0.36599999999999999</v>
      </c>
      <c r="AB9" s="11">
        <f>SMALL((D9,F9,H9,J9,L9,N9,P9,R9,T9,V9,X9,Z9),2)</f>
        <v>0.24399999999999999</v>
      </c>
    </row>
    <row r="10" spans="1:28" ht="15" customHeight="1" x14ac:dyDescent="0.25">
      <c r="A10" s="28"/>
      <c r="B10" s="12">
        <v>360</v>
      </c>
      <c r="C10" s="13">
        <v>0.56799999999999995</v>
      </c>
      <c r="D10" s="14">
        <v>0.34379999999999999</v>
      </c>
      <c r="E10" s="13">
        <v>0.54700000000000004</v>
      </c>
      <c r="F10" s="14">
        <v>0.35</v>
      </c>
      <c r="G10" s="13">
        <v>0.55300000000000005</v>
      </c>
      <c r="H10" s="14">
        <v>0.35399999999999998</v>
      </c>
      <c r="I10" s="13">
        <v>0.56100000000000005</v>
      </c>
      <c r="J10" s="14">
        <v>0.34899999999999998</v>
      </c>
      <c r="K10" s="13">
        <v>0.72599999999999998</v>
      </c>
      <c r="L10" s="14">
        <v>0.44</v>
      </c>
      <c r="M10" s="13">
        <v>0.60199999999999998</v>
      </c>
      <c r="N10" s="14">
        <v>0.375</v>
      </c>
      <c r="O10" s="13">
        <v>0.57099999999999995</v>
      </c>
      <c r="P10" s="14">
        <v>0.35699999999999998</v>
      </c>
      <c r="Q10" s="13">
        <v>0.56399999999999995</v>
      </c>
      <c r="R10" s="14">
        <v>0.34599999999999997</v>
      </c>
      <c r="S10" s="13">
        <v>0.58799999999999997</v>
      </c>
      <c r="T10" s="14">
        <v>0.36699999999999999</v>
      </c>
      <c r="U10" s="13">
        <v>0.55200000000000005</v>
      </c>
      <c r="V10" s="14">
        <v>0.35</v>
      </c>
      <c r="W10" s="13">
        <v>0.56399999999999995</v>
      </c>
      <c r="X10" s="14">
        <v>0.35399999999999998</v>
      </c>
      <c r="Y10" s="13">
        <v>0.64500000000000002</v>
      </c>
      <c r="Z10" s="18">
        <v>0.45400000000000001</v>
      </c>
      <c r="AA10" s="11">
        <f>SMALL((C10,E10,G10,I10,K10,M10,O10,Q10,S10,U10,W10,Y10),2)</f>
        <v>0.55200000000000005</v>
      </c>
      <c r="AB10" s="11">
        <f>SMALL((D10,F10,H10,J10,L10,N10,P10,R10,T10,V10,X10,Z10),2)</f>
        <v>0.34599999999999997</v>
      </c>
    </row>
    <row r="11" spans="1:28" ht="15" customHeight="1" thickBot="1" x14ac:dyDescent="0.3">
      <c r="A11" s="29"/>
      <c r="B11" s="15" t="s">
        <v>11</v>
      </c>
      <c r="C11" s="16">
        <f>ROUND(AVERAGE(C9:C10),4)</f>
        <v>0.46600000000000003</v>
      </c>
      <c r="D11" s="17">
        <f>ROUND(AVERAGE(D9:D10),4)</f>
        <v>0.29349999999999998</v>
      </c>
      <c r="E11" s="16">
        <f t="shared" ref="E11:Z11" si="2">ROUND(AVERAGE(E9:E10),4)</f>
        <v>0.46150000000000002</v>
      </c>
      <c r="F11" s="17">
        <f t="shared" si="2"/>
        <v>0.29699999999999999</v>
      </c>
      <c r="G11" s="16">
        <f t="shared" si="2"/>
        <v>0.45950000000000002</v>
      </c>
      <c r="H11" s="17">
        <f t="shared" si="2"/>
        <v>0.30599999999999999</v>
      </c>
      <c r="I11" s="16">
        <f t="shared" si="2"/>
        <v>0.47649999999999998</v>
      </c>
      <c r="J11" s="17">
        <f t="shared" si="2"/>
        <v>0.30099999999999999</v>
      </c>
      <c r="K11" s="16">
        <f t="shared" si="2"/>
        <v>0.56299999999999994</v>
      </c>
      <c r="L11" s="17">
        <f t="shared" si="2"/>
        <v>0.35349999999999998</v>
      </c>
      <c r="M11" s="16">
        <f t="shared" si="2"/>
        <v>0.54649999999999999</v>
      </c>
      <c r="N11" s="17">
        <f t="shared" si="2"/>
        <v>0.34849999999999998</v>
      </c>
      <c r="O11" s="16">
        <f t="shared" si="2"/>
        <v>0.47299999999999998</v>
      </c>
      <c r="P11" s="17">
        <f t="shared" si="2"/>
        <v>0.30499999999999999</v>
      </c>
      <c r="Q11" s="16">
        <f t="shared" si="2"/>
        <v>0.47649999999999998</v>
      </c>
      <c r="R11" s="17">
        <f t="shared" si="2"/>
        <v>0.29949999999999999</v>
      </c>
      <c r="S11" s="16">
        <f t="shared" si="2"/>
        <v>0.50249999999999995</v>
      </c>
      <c r="T11" s="17">
        <f t="shared" si="2"/>
        <v>0.32500000000000001</v>
      </c>
      <c r="U11" s="16">
        <f t="shared" si="2"/>
        <v>0.48799999999999999</v>
      </c>
      <c r="V11" s="17">
        <f t="shared" si="2"/>
        <v>0.315</v>
      </c>
      <c r="W11" s="16">
        <f t="shared" si="2"/>
        <v>0.48449999999999999</v>
      </c>
      <c r="X11" s="17">
        <f t="shared" si="2"/>
        <v>0.309</v>
      </c>
      <c r="Y11" s="16">
        <f t="shared" si="2"/>
        <v>0.54900000000000004</v>
      </c>
      <c r="Z11" s="17">
        <f t="shared" si="2"/>
        <v>0.38100000000000001</v>
      </c>
      <c r="AA11" s="11">
        <f>SMALL((C11,E11,G11,I11,K11,M11,O11,Q11,S11,U11,W11,Y11),2)</f>
        <v>0.46150000000000002</v>
      </c>
      <c r="AB11" s="11">
        <f>SMALL((D11,F11,H11,J11,L11,N11,P11,R11,T11,V11,X11,Z11),2)</f>
        <v>0.29699999999999999</v>
      </c>
    </row>
    <row r="12" spans="1:28" ht="15" customHeight="1" x14ac:dyDescent="0.25">
      <c r="A12" s="27" t="s">
        <v>32</v>
      </c>
      <c r="B12" s="7">
        <v>24</v>
      </c>
      <c r="C12" s="8">
        <v>0.35870000000000002</v>
      </c>
      <c r="D12" s="9">
        <v>0.18870000000000001</v>
      </c>
      <c r="E12" s="8">
        <v>0.34499999999999997</v>
      </c>
      <c r="F12" s="9">
        <v>0.19</v>
      </c>
      <c r="G12" s="8">
        <v>0.35099999999999998</v>
      </c>
      <c r="H12" s="9">
        <v>0.19900000000000001</v>
      </c>
      <c r="I12" s="8">
        <v>0.36599999999999999</v>
      </c>
      <c r="J12" s="9">
        <v>0.19500000000000001</v>
      </c>
      <c r="K12" s="8">
        <v>0.44500000000000001</v>
      </c>
      <c r="L12" s="9">
        <v>0.23100000000000001</v>
      </c>
      <c r="M12" s="8">
        <v>0.41099999999999998</v>
      </c>
      <c r="N12" s="9">
        <v>0.253</v>
      </c>
      <c r="O12" s="8">
        <v>0.35599999999999998</v>
      </c>
      <c r="P12" s="9">
        <v>0.20699999999999999</v>
      </c>
      <c r="Q12" s="8">
        <v>0.39700000000000002</v>
      </c>
      <c r="R12" s="9">
        <v>0.20399999999999999</v>
      </c>
      <c r="S12" s="8">
        <v>0.42899999999999999</v>
      </c>
      <c r="T12" s="9">
        <v>0.25</v>
      </c>
      <c r="U12" s="8">
        <v>0.44800000000000001</v>
      </c>
      <c r="V12" s="9">
        <v>0.25</v>
      </c>
      <c r="W12" s="8">
        <v>0.39700000000000002</v>
      </c>
      <c r="X12" s="9">
        <v>0.223</v>
      </c>
      <c r="Y12" s="8">
        <v>0.41199999999999998</v>
      </c>
      <c r="Z12" s="10">
        <v>0.253</v>
      </c>
      <c r="AA12" s="11">
        <f>SMALL((C12,E12,G12,I12,K12,M12,O12,Q12,S12,U12,W12,Y12),2)</f>
        <v>0.35099999999999998</v>
      </c>
      <c r="AB12" s="11">
        <f>SMALL((D12,F12,H12,J12,L12,N12,P12,R12,T12,V12,X12,Z12),2)</f>
        <v>0.19</v>
      </c>
    </row>
    <row r="13" spans="1:28" ht="15" customHeight="1" x14ac:dyDescent="0.25">
      <c r="A13" s="28"/>
      <c r="B13" s="12">
        <v>360</v>
      </c>
      <c r="C13" s="13">
        <v>0.51800000000000002</v>
      </c>
      <c r="D13" s="14">
        <v>0.29299999999999998</v>
      </c>
      <c r="E13" s="13">
        <v>0.52300000000000002</v>
      </c>
      <c r="F13" s="14">
        <v>0.307</v>
      </c>
      <c r="G13" s="13">
        <v>0.51900000000000002</v>
      </c>
      <c r="H13" s="14">
        <v>0.29339999999999999</v>
      </c>
      <c r="I13" s="13">
        <v>0.54200000000000004</v>
      </c>
      <c r="J13" s="14">
        <v>0.29799999999999999</v>
      </c>
      <c r="K13" s="13">
        <v>0.624</v>
      </c>
      <c r="L13" s="14">
        <v>0.34499999999999997</v>
      </c>
      <c r="M13" s="13">
        <v>0.57399999999999995</v>
      </c>
      <c r="N13" s="14">
        <v>0.32500000000000001</v>
      </c>
      <c r="O13" s="13">
        <v>0.57799999999999996</v>
      </c>
      <c r="P13" s="14">
        <v>0.317</v>
      </c>
      <c r="Q13" s="13">
        <v>0.55500000000000005</v>
      </c>
      <c r="R13" s="14">
        <v>0.31</v>
      </c>
      <c r="S13" s="13">
        <v>0.55900000000000005</v>
      </c>
      <c r="T13" s="14">
        <v>0.32200000000000001</v>
      </c>
      <c r="U13" s="13">
        <v>0.53400000000000003</v>
      </c>
      <c r="V13" s="14">
        <v>0.30299999999999999</v>
      </c>
      <c r="W13" s="13">
        <v>0.54200000000000004</v>
      </c>
      <c r="X13" s="14">
        <v>0.30599999999999999</v>
      </c>
      <c r="Y13" s="13">
        <v>0.57599999999999996</v>
      </c>
      <c r="Z13" s="18">
        <v>0.35199999999999998</v>
      </c>
      <c r="AA13" s="11">
        <f>SMALL((C13,E13,G13,I13,K13,M13,O13,Q13,S13,U13,W13,Y13),2)</f>
        <v>0.51900000000000002</v>
      </c>
      <c r="AB13" s="11">
        <f>SMALL((D13,F13,H13,J13,L13,N13,P13,R13,T13,V13,X13,Z13),2)</f>
        <v>0.29339999999999999</v>
      </c>
    </row>
    <row r="14" spans="1:28" ht="15" customHeight="1" thickBot="1" x14ac:dyDescent="0.3">
      <c r="A14" s="29"/>
      <c r="B14" s="15" t="s">
        <v>11</v>
      </c>
      <c r="C14" s="16">
        <f>ROUND(AVERAGE(C12:C13),4)</f>
        <v>0.43840000000000001</v>
      </c>
      <c r="D14" s="17">
        <f>ROUND(AVERAGE(D12:D13),4)</f>
        <v>0.2409</v>
      </c>
      <c r="E14" s="16">
        <f t="shared" ref="E14:Z14" si="3">ROUND(AVERAGE(E12:E13),4)</f>
        <v>0.434</v>
      </c>
      <c r="F14" s="17">
        <f t="shared" si="3"/>
        <v>0.2485</v>
      </c>
      <c r="G14" s="16">
        <f t="shared" si="3"/>
        <v>0.435</v>
      </c>
      <c r="H14" s="17">
        <f t="shared" si="3"/>
        <v>0.2462</v>
      </c>
      <c r="I14" s="16">
        <f t="shared" si="3"/>
        <v>0.45400000000000001</v>
      </c>
      <c r="J14" s="17">
        <f t="shared" si="3"/>
        <v>0.2465</v>
      </c>
      <c r="K14" s="16">
        <f t="shared" si="3"/>
        <v>0.53449999999999998</v>
      </c>
      <c r="L14" s="17">
        <f t="shared" si="3"/>
        <v>0.28799999999999998</v>
      </c>
      <c r="M14" s="16">
        <f t="shared" si="3"/>
        <v>0.49249999999999999</v>
      </c>
      <c r="N14" s="17">
        <f t="shared" si="3"/>
        <v>0.28899999999999998</v>
      </c>
      <c r="O14" s="16">
        <f t="shared" si="3"/>
        <v>0.46700000000000003</v>
      </c>
      <c r="P14" s="17">
        <f t="shared" si="3"/>
        <v>0.26200000000000001</v>
      </c>
      <c r="Q14" s="16">
        <f t="shared" si="3"/>
        <v>0.47599999999999998</v>
      </c>
      <c r="R14" s="17">
        <f t="shared" si="3"/>
        <v>0.25700000000000001</v>
      </c>
      <c r="S14" s="16">
        <f t="shared" si="3"/>
        <v>0.49399999999999999</v>
      </c>
      <c r="T14" s="17">
        <f t="shared" si="3"/>
        <v>0.28599999999999998</v>
      </c>
      <c r="U14" s="16">
        <f t="shared" si="3"/>
        <v>0.49099999999999999</v>
      </c>
      <c r="V14" s="17">
        <f t="shared" si="3"/>
        <v>0.27650000000000002</v>
      </c>
      <c r="W14" s="16">
        <f t="shared" si="3"/>
        <v>0.46949999999999997</v>
      </c>
      <c r="X14" s="17">
        <f t="shared" si="3"/>
        <v>0.26450000000000001</v>
      </c>
      <c r="Y14" s="16">
        <f t="shared" si="3"/>
        <v>0.49399999999999999</v>
      </c>
      <c r="Z14" s="17">
        <f t="shared" si="3"/>
        <v>0.30249999999999999</v>
      </c>
      <c r="AA14" s="11">
        <f>SMALL((C14,E14,G14,I14,K14,M14,O14,Q14,S14,U14,W14,Y14),2)</f>
        <v>0.435</v>
      </c>
      <c r="AB14" s="11">
        <f>SMALL((D14,F14,H14,J14,L14,N14,P14,R14,T14,V14,X14,Z14),2)</f>
        <v>0.2462</v>
      </c>
    </row>
    <row r="15" spans="1:28" ht="15" customHeight="1" x14ac:dyDescent="0.25">
      <c r="A15" s="27" t="s">
        <v>33</v>
      </c>
      <c r="B15" s="7">
        <v>24</v>
      </c>
      <c r="C15" s="8">
        <v>0.248</v>
      </c>
      <c r="D15" s="9">
        <v>0.31140000000000001</v>
      </c>
      <c r="E15" s="8">
        <v>0.42199999999999999</v>
      </c>
      <c r="F15" s="9">
        <v>0.41099999999999998</v>
      </c>
      <c r="G15" s="8">
        <v>0.41299999999999998</v>
      </c>
      <c r="H15" s="9">
        <v>0.40200000000000002</v>
      </c>
      <c r="I15" s="8">
        <v>0.501</v>
      </c>
      <c r="J15" s="9">
        <v>0.44500000000000001</v>
      </c>
      <c r="K15" s="8">
        <v>0.57599999999999996</v>
      </c>
      <c r="L15" s="9">
        <v>0.45200000000000001</v>
      </c>
      <c r="M15" s="8">
        <v>0.46400000000000002</v>
      </c>
      <c r="N15" s="9">
        <v>0.433</v>
      </c>
      <c r="O15" s="8">
        <v>0.42299999999999999</v>
      </c>
      <c r="P15" s="9">
        <v>0.40300000000000002</v>
      </c>
      <c r="Q15" s="8">
        <v>0.438</v>
      </c>
      <c r="R15" s="9">
        <v>0.42299999999999999</v>
      </c>
      <c r="S15" s="8">
        <v>0.49299999999999999</v>
      </c>
      <c r="T15" s="9">
        <v>0.45500000000000002</v>
      </c>
      <c r="U15" s="8">
        <v>0.504</v>
      </c>
      <c r="V15" s="9">
        <v>0.46200000000000002</v>
      </c>
      <c r="W15" s="8">
        <v>0.503</v>
      </c>
      <c r="X15" s="9">
        <v>0.45</v>
      </c>
      <c r="Y15" s="8">
        <v>0.51100000000000001</v>
      </c>
      <c r="Z15" s="10">
        <v>0.45800000000000002</v>
      </c>
      <c r="AA15" s="11">
        <f>SMALL((C15,E15,G15,I15,K15,M15,O15,Q15,S15,U15,W15,Y15),2)</f>
        <v>0.41299999999999998</v>
      </c>
      <c r="AB15" s="11">
        <f>SMALL((D15,F15,H15,J15,L15,N15,P15,R15,T15,V15,X15,Z15),2)</f>
        <v>0.40200000000000002</v>
      </c>
    </row>
    <row r="16" spans="1:28" ht="15" customHeight="1" x14ac:dyDescent="0.25">
      <c r="A16" s="28"/>
      <c r="B16" s="12">
        <v>360</v>
      </c>
      <c r="C16" s="13">
        <v>0.42599999999999999</v>
      </c>
      <c r="D16" s="14">
        <v>0.3992</v>
      </c>
      <c r="E16" s="13">
        <v>0.78400000000000003</v>
      </c>
      <c r="F16" s="14">
        <v>0.56299999999999994</v>
      </c>
      <c r="G16" s="13">
        <v>0.81499999999999995</v>
      </c>
      <c r="H16" s="14">
        <v>0.6</v>
      </c>
      <c r="I16" s="13">
        <v>0.81799999999999995</v>
      </c>
      <c r="J16" s="14">
        <v>0.56799999999999995</v>
      </c>
      <c r="K16" s="13">
        <v>0.79200000000000004</v>
      </c>
      <c r="L16" s="14">
        <v>0.57799999999999996</v>
      </c>
      <c r="M16" s="13">
        <v>0.82099999999999995</v>
      </c>
      <c r="N16" s="14">
        <v>0.60399999999999998</v>
      </c>
      <c r="O16" s="13">
        <v>0.89500000000000002</v>
      </c>
      <c r="P16" s="14">
        <v>0.623</v>
      </c>
      <c r="Q16" s="13">
        <v>0.83199999999999996</v>
      </c>
      <c r="R16" s="14">
        <v>0.59199999999999997</v>
      </c>
      <c r="S16" s="13">
        <v>0.93</v>
      </c>
      <c r="T16" s="14">
        <v>0.64200000000000002</v>
      </c>
      <c r="U16" s="13">
        <v>0.83399999999999996</v>
      </c>
      <c r="V16" s="14">
        <v>0.59</v>
      </c>
      <c r="W16" s="13">
        <v>0.88900000000000001</v>
      </c>
      <c r="X16" s="14">
        <v>0.60399999999999998</v>
      </c>
      <c r="Y16" s="13">
        <v>0.86799999999999999</v>
      </c>
      <c r="Z16" s="18">
        <v>0.6</v>
      </c>
      <c r="AA16" s="11">
        <f>SMALL((C16,E16,G16,I16,K16,M16,O16,Q16,S16,U16,W16,Y16),2)</f>
        <v>0.78400000000000003</v>
      </c>
      <c r="AB16" s="11">
        <f>SMALL((D16,F16,H16,J16,L16,N16,P16,R16,T16,V16,X16,Z16),2)</f>
        <v>0.56299999999999994</v>
      </c>
    </row>
    <row r="17" spans="1:28" ht="15" customHeight="1" thickBot="1" x14ac:dyDescent="0.3">
      <c r="A17" s="29"/>
      <c r="B17" s="15" t="s">
        <v>11</v>
      </c>
      <c r="C17" s="16">
        <f>ROUND(AVERAGE(C15:C16),4)</f>
        <v>0.33700000000000002</v>
      </c>
      <c r="D17" s="17">
        <f>ROUND(AVERAGE(D15:D16),4)</f>
        <v>0.3553</v>
      </c>
      <c r="E17" s="16">
        <f t="shared" ref="E17:Z17" si="4">ROUND(AVERAGE(E15:E16),4)</f>
        <v>0.60299999999999998</v>
      </c>
      <c r="F17" s="17">
        <f t="shared" si="4"/>
        <v>0.48699999999999999</v>
      </c>
      <c r="G17" s="16">
        <f t="shared" si="4"/>
        <v>0.61399999999999999</v>
      </c>
      <c r="H17" s="17">
        <f t="shared" si="4"/>
        <v>0.501</v>
      </c>
      <c r="I17" s="16">
        <f t="shared" si="4"/>
        <v>0.65949999999999998</v>
      </c>
      <c r="J17" s="17">
        <f t="shared" si="4"/>
        <v>0.50649999999999995</v>
      </c>
      <c r="K17" s="16">
        <f t="shared" si="4"/>
        <v>0.68400000000000005</v>
      </c>
      <c r="L17" s="17">
        <f t="shared" si="4"/>
        <v>0.51500000000000001</v>
      </c>
      <c r="M17" s="16">
        <f t="shared" si="4"/>
        <v>0.64249999999999996</v>
      </c>
      <c r="N17" s="17">
        <f t="shared" si="4"/>
        <v>0.51849999999999996</v>
      </c>
      <c r="O17" s="16">
        <f t="shared" si="4"/>
        <v>0.65900000000000003</v>
      </c>
      <c r="P17" s="17">
        <f t="shared" si="4"/>
        <v>0.51300000000000001</v>
      </c>
      <c r="Q17" s="16">
        <f t="shared" si="4"/>
        <v>0.63500000000000001</v>
      </c>
      <c r="R17" s="17">
        <f t="shared" si="4"/>
        <v>0.50749999999999995</v>
      </c>
      <c r="S17" s="16">
        <f t="shared" si="4"/>
        <v>0.71150000000000002</v>
      </c>
      <c r="T17" s="17">
        <f t="shared" si="4"/>
        <v>0.54849999999999999</v>
      </c>
      <c r="U17" s="16">
        <f t="shared" si="4"/>
        <v>0.66900000000000004</v>
      </c>
      <c r="V17" s="17">
        <f t="shared" si="4"/>
        <v>0.52600000000000002</v>
      </c>
      <c r="W17" s="16">
        <f t="shared" si="4"/>
        <v>0.69599999999999995</v>
      </c>
      <c r="X17" s="17">
        <f t="shared" si="4"/>
        <v>0.52700000000000002</v>
      </c>
      <c r="Y17" s="16">
        <f t="shared" si="4"/>
        <v>0.6895</v>
      </c>
      <c r="Z17" s="17">
        <f t="shared" si="4"/>
        <v>0.52900000000000003</v>
      </c>
      <c r="AA17" s="11">
        <f>SMALL((C17,E17,G17,I17,K17,M17,O17,Q17,S17,U17,W17,Y17),2)</f>
        <v>0.60299999999999998</v>
      </c>
      <c r="AB17" s="11">
        <f>SMALL((D17,F17,H17,J17,L17,N17,P17,R17,T17,V17,X17,Z17),2)</f>
        <v>0.48699999999999999</v>
      </c>
    </row>
    <row r="18" spans="1:28" ht="15" customHeight="1" x14ac:dyDescent="0.25">
      <c r="A18" s="27" t="s">
        <v>34</v>
      </c>
      <c r="B18" s="7">
        <v>24</v>
      </c>
      <c r="C18" s="8">
        <v>6.54E-2</v>
      </c>
      <c r="D18" s="9">
        <v>0.19889999999999999</v>
      </c>
      <c r="E18" s="8">
        <v>0.112</v>
      </c>
      <c r="F18" s="9">
        <v>0.25700000000000001</v>
      </c>
      <c r="G18" s="8">
        <v>0.112</v>
      </c>
      <c r="H18" s="9">
        <v>0.25900000000000001</v>
      </c>
      <c r="I18" s="8">
        <v>0.13800000000000001</v>
      </c>
      <c r="J18" s="9">
        <v>0.29199999999999998</v>
      </c>
      <c r="K18" s="8">
        <v>0.35</v>
      </c>
      <c r="L18" s="9">
        <v>0.46200000000000002</v>
      </c>
      <c r="M18" s="8">
        <v>0.11600000000000001</v>
      </c>
      <c r="N18" s="9">
        <v>0.26500000000000001</v>
      </c>
      <c r="O18" s="8">
        <v>0.109</v>
      </c>
      <c r="P18" s="9">
        <v>0.254</v>
      </c>
      <c r="Q18" s="8">
        <v>0.10199999999999999</v>
      </c>
      <c r="R18" s="9">
        <v>0.246</v>
      </c>
      <c r="S18" s="8">
        <v>0.108</v>
      </c>
      <c r="T18" s="9">
        <v>0.254</v>
      </c>
      <c r="U18" s="8">
        <v>0.109</v>
      </c>
      <c r="V18" s="9">
        <v>0.254</v>
      </c>
      <c r="W18" s="8">
        <v>0.108</v>
      </c>
      <c r="X18" s="9">
        <v>0.254</v>
      </c>
      <c r="Y18" s="8">
        <v>0.106</v>
      </c>
      <c r="Z18" s="10">
        <v>0.248</v>
      </c>
      <c r="AA18" s="11">
        <f>SMALL((C18,E18,G18,I18,K18,M18,O18,Q18,S18,U18,W18,Y18),2)</f>
        <v>0.10199999999999999</v>
      </c>
      <c r="AB18" s="11">
        <f>SMALL((D18,F18,H18,J18,L18,N18,P18,R18,T18,V18,X18,Z18),2)</f>
        <v>0.246</v>
      </c>
    </row>
    <row r="19" spans="1:28" ht="15" customHeight="1" x14ac:dyDescent="0.25">
      <c r="A19" s="28"/>
      <c r="B19" s="12">
        <v>360</v>
      </c>
      <c r="C19" s="13">
        <v>0.154</v>
      </c>
      <c r="D19" s="14">
        <v>0.30499999999999999</v>
      </c>
      <c r="E19" s="13">
        <v>0.189</v>
      </c>
      <c r="F19" s="14">
        <v>0.34200000000000003</v>
      </c>
      <c r="G19" s="13">
        <v>0.19500000000000001</v>
      </c>
      <c r="H19" s="14">
        <v>0.35099999999999998</v>
      </c>
      <c r="I19" s="13">
        <v>0.20599999999999999</v>
      </c>
      <c r="J19" s="14">
        <v>0.36</v>
      </c>
      <c r="K19" s="13">
        <v>0.39900000000000002</v>
      </c>
      <c r="L19" s="14">
        <v>0.497</v>
      </c>
      <c r="M19" s="13">
        <v>0.20899999999999999</v>
      </c>
      <c r="N19" s="14">
        <v>0.35799999999999998</v>
      </c>
      <c r="O19" s="13">
        <v>0.21099999999999999</v>
      </c>
      <c r="P19" s="14">
        <v>0.36199999999999999</v>
      </c>
      <c r="Q19" s="13">
        <v>0.29899999999999999</v>
      </c>
      <c r="R19" s="14">
        <v>0.42499999999999999</v>
      </c>
      <c r="S19" s="13">
        <v>0.251</v>
      </c>
      <c r="T19" s="14">
        <v>0.4</v>
      </c>
      <c r="U19" s="13">
        <v>0.186</v>
      </c>
      <c r="V19" s="14">
        <v>0.33800000000000002</v>
      </c>
      <c r="W19" s="13">
        <v>0.29799999999999999</v>
      </c>
      <c r="X19" s="14">
        <v>0.42799999999999999</v>
      </c>
      <c r="Y19" s="13">
        <v>0.214</v>
      </c>
      <c r="Z19" s="18">
        <v>0.36699999999999999</v>
      </c>
      <c r="AA19" s="11">
        <f>SMALL((C19,E19,G19,I19,K19,M19,O19,Q19,S19,U19,W19,Y19),2)</f>
        <v>0.186</v>
      </c>
      <c r="AB19" s="11">
        <f>SMALL((D19,F19,H19,J19,L19,N19,P19,R19,T19,V19,X19,Z19),2)</f>
        <v>0.33800000000000002</v>
      </c>
    </row>
    <row r="20" spans="1:28" ht="15" customHeight="1" thickBot="1" x14ac:dyDescent="0.3">
      <c r="A20" s="29"/>
      <c r="B20" s="15" t="s">
        <v>11</v>
      </c>
      <c r="C20" s="16">
        <f>ROUND(AVERAGE(C18:C19),4)</f>
        <v>0.10970000000000001</v>
      </c>
      <c r="D20" s="17">
        <f>ROUND(AVERAGE(D18:D19),4)</f>
        <v>0.252</v>
      </c>
      <c r="E20" s="16">
        <f t="shared" ref="E20:Z20" si="5">ROUND(AVERAGE(E18:E19),4)</f>
        <v>0.15049999999999999</v>
      </c>
      <c r="F20" s="17">
        <f t="shared" si="5"/>
        <v>0.29949999999999999</v>
      </c>
      <c r="G20" s="16">
        <f t="shared" si="5"/>
        <v>0.1535</v>
      </c>
      <c r="H20" s="17">
        <f t="shared" si="5"/>
        <v>0.30499999999999999</v>
      </c>
      <c r="I20" s="16">
        <f t="shared" si="5"/>
        <v>0.17199999999999999</v>
      </c>
      <c r="J20" s="17">
        <f t="shared" si="5"/>
        <v>0.32600000000000001</v>
      </c>
      <c r="K20" s="16">
        <f t="shared" si="5"/>
        <v>0.3745</v>
      </c>
      <c r="L20" s="17">
        <f t="shared" si="5"/>
        <v>0.47949999999999998</v>
      </c>
      <c r="M20" s="16">
        <f t="shared" si="5"/>
        <v>0.16250000000000001</v>
      </c>
      <c r="N20" s="17">
        <f t="shared" si="5"/>
        <v>0.3115</v>
      </c>
      <c r="O20" s="16">
        <f t="shared" si="5"/>
        <v>0.16</v>
      </c>
      <c r="P20" s="17">
        <f t="shared" si="5"/>
        <v>0.308</v>
      </c>
      <c r="Q20" s="16">
        <f t="shared" si="5"/>
        <v>0.20050000000000001</v>
      </c>
      <c r="R20" s="17">
        <f t="shared" si="5"/>
        <v>0.33550000000000002</v>
      </c>
      <c r="S20" s="16">
        <f t="shared" si="5"/>
        <v>0.17949999999999999</v>
      </c>
      <c r="T20" s="17">
        <f t="shared" si="5"/>
        <v>0.32700000000000001</v>
      </c>
      <c r="U20" s="16">
        <f t="shared" si="5"/>
        <v>0.14749999999999999</v>
      </c>
      <c r="V20" s="17">
        <f t="shared" si="5"/>
        <v>0.29599999999999999</v>
      </c>
      <c r="W20" s="16">
        <f t="shared" si="5"/>
        <v>0.20300000000000001</v>
      </c>
      <c r="X20" s="17">
        <f t="shared" si="5"/>
        <v>0.34100000000000003</v>
      </c>
      <c r="Y20" s="16">
        <f t="shared" si="5"/>
        <v>0.16</v>
      </c>
      <c r="Z20" s="17">
        <f t="shared" si="5"/>
        <v>0.3075</v>
      </c>
      <c r="AA20" s="11">
        <f>SMALL((C20,E20,G20,I20,K20,M20,O20,Q20,S20,U20,W20,Y20),2)</f>
        <v>0.14749999999999999</v>
      </c>
      <c r="AB20" s="11">
        <f>SMALL((D20,F20,H20,J20,L20,N20,P20,R20,T20,V20,X20,Z20),2)</f>
        <v>0.29599999999999999</v>
      </c>
    </row>
    <row r="21" spans="1:28" ht="15" customHeight="1" x14ac:dyDescent="0.25">
      <c r="A21" s="27" t="s">
        <v>35</v>
      </c>
      <c r="B21" s="7">
        <v>24</v>
      </c>
      <c r="C21" s="8">
        <v>0.36559999999999998</v>
      </c>
      <c r="D21" s="9">
        <v>0.39400000000000002</v>
      </c>
      <c r="E21" s="8">
        <v>0.53200000000000003</v>
      </c>
      <c r="F21" s="9">
        <v>0.51200000000000001</v>
      </c>
      <c r="G21" s="8">
        <v>0.53700000000000003</v>
      </c>
      <c r="H21" s="9">
        <v>0.50900000000000001</v>
      </c>
      <c r="I21" s="8">
        <v>0.55800000000000005</v>
      </c>
      <c r="J21" s="9">
        <v>0.53300000000000003</v>
      </c>
      <c r="K21" s="8">
        <v>0.59599999999999997</v>
      </c>
      <c r="L21" s="9">
        <v>0.53100000000000003</v>
      </c>
      <c r="M21" s="8">
        <v>0.56000000000000005</v>
      </c>
      <c r="N21" s="9">
        <v>0.54100000000000004</v>
      </c>
      <c r="O21" s="8">
        <v>0.55000000000000004</v>
      </c>
      <c r="P21" s="9">
        <v>0.496</v>
      </c>
      <c r="Q21" s="8">
        <v>0.54900000000000004</v>
      </c>
      <c r="R21" s="9">
        <v>0.55300000000000005</v>
      </c>
      <c r="S21" s="8">
        <v>0.57899999999999996</v>
      </c>
      <c r="T21" s="9">
        <v>0.55700000000000005</v>
      </c>
      <c r="U21" s="8">
        <v>0.59799999999999998</v>
      </c>
      <c r="V21" s="9">
        <v>0.57899999999999996</v>
      </c>
      <c r="W21" s="8">
        <v>0.55700000000000005</v>
      </c>
      <c r="X21" s="9">
        <v>0.55700000000000005</v>
      </c>
      <c r="Y21" s="8">
        <v>0.54700000000000004</v>
      </c>
      <c r="Z21" s="10">
        <v>0.58899999999999997</v>
      </c>
      <c r="AA21" s="11">
        <f>SMALL((C21,E21,G21,I21,K21,M21,O21,Q21,S21,U21,W21,Y21),2)</f>
        <v>0.53200000000000003</v>
      </c>
      <c r="AB21" s="11">
        <f>SMALL((D21,F21,H21,J21,L21,N21,P21,R21,T21,V21,X21,Z21),2)</f>
        <v>0.496</v>
      </c>
    </row>
    <row r="22" spans="1:28" ht="15" customHeight="1" x14ac:dyDescent="0.25">
      <c r="A22" s="28"/>
      <c r="B22" s="12">
        <v>360</v>
      </c>
      <c r="C22" s="13">
        <v>0.44500000000000001</v>
      </c>
      <c r="D22" s="14">
        <v>0.44500000000000001</v>
      </c>
      <c r="E22" s="13">
        <v>0.84499999999999997</v>
      </c>
      <c r="F22" s="14">
        <v>0.69499999999999995</v>
      </c>
      <c r="G22" s="13">
        <v>0.88500000000000001</v>
      </c>
      <c r="H22" s="14">
        <v>0.68200000000000005</v>
      </c>
      <c r="I22" s="13">
        <v>0.84499999999999997</v>
      </c>
      <c r="J22" s="14">
        <v>0.68400000000000005</v>
      </c>
      <c r="K22" s="13">
        <v>1.3720000000000001</v>
      </c>
      <c r="L22" s="14">
        <v>0.92500000000000004</v>
      </c>
      <c r="M22" s="13">
        <v>0.86299999999999999</v>
      </c>
      <c r="N22" s="14">
        <v>0.72499999999999998</v>
      </c>
      <c r="O22" s="13">
        <v>0.89800000000000002</v>
      </c>
      <c r="P22" s="14">
        <v>0.67300000000000004</v>
      </c>
      <c r="Q22" s="13">
        <v>1.07</v>
      </c>
      <c r="R22" s="14">
        <v>0.83399999999999996</v>
      </c>
      <c r="S22" s="13">
        <v>1.1060000000000001</v>
      </c>
      <c r="T22" s="14">
        <v>0.81399999999999995</v>
      </c>
      <c r="U22" s="13">
        <v>0.85299999999999998</v>
      </c>
      <c r="V22" s="14">
        <v>0.76400000000000001</v>
      </c>
      <c r="W22" s="13">
        <v>0.91</v>
      </c>
      <c r="X22" s="14">
        <v>0.745</v>
      </c>
      <c r="Y22" s="13">
        <v>0.83899999999999997</v>
      </c>
      <c r="Z22" s="18">
        <v>0.77300000000000002</v>
      </c>
      <c r="AA22" s="11">
        <f>SMALL((C22,E22,G22,I22,K22,M22,O22,Q22,S22,U22,W22,Y22),2)</f>
        <v>0.83899999999999997</v>
      </c>
      <c r="AB22" s="11">
        <f>SMALL((D22,F22,H22,J22,L22,N22,P22,R22,T22,V22,X22,Z22),2)</f>
        <v>0.67300000000000004</v>
      </c>
    </row>
    <row r="23" spans="1:28" ht="15" customHeight="1" thickBot="1" x14ac:dyDescent="0.3">
      <c r="A23" s="29"/>
      <c r="B23" s="15" t="s">
        <v>11</v>
      </c>
      <c r="C23" s="16">
        <f>ROUND(AVERAGE(C21:C22),4)</f>
        <v>0.40529999999999999</v>
      </c>
      <c r="D23" s="17">
        <f>ROUND(AVERAGE(D21:D22),4)</f>
        <v>0.41949999999999998</v>
      </c>
      <c r="E23" s="16">
        <f t="shared" ref="E23:Z23" si="6">ROUND(AVERAGE(E21:E22),4)</f>
        <v>0.6885</v>
      </c>
      <c r="F23" s="17">
        <f t="shared" si="6"/>
        <v>0.60350000000000004</v>
      </c>
      <c r="G23" s="16">
        <f t="shared" si="6"/>
        <v>0.71099999999999997</v>
      </c>
      <c r="H23" s="17">
        <f t="shared" si="6"/>
        <v>0.59550000000000003</v>
      </c>
      <c r="I23" s="16">
        <f t="shared" si="6"/>
        <v>0.70150000000000001</v>
      </c>
      <c r="J23" s="17">
        <f t="shared" si="6"/>
        <v>0.60850000000000004</v>
      </c>
      <c r="K23" s="16">
        <f t="shared" si="6"/>
        <v>0.98399999999999999</v>
      </c>
      <c r="L23" s="17">
        <f t="shared" si="6"/>
        <v>0.72799999999999998</v>
      </c>
      <c r="M23" s="16">
        <f t="shared" si="6"/>
        <v>0.71150000000000002</v>
      </c>
      <c r="N23" s="17">
        <f t="shared" si="6"/>
        <v>0.63300000000000001</v>
      </c>
      <c r="O23" s="16">
        <f t="shared" si="6"/>
        <v>0.72399999999999998</v>
      </c>
      <c r="P23" s="17">
        <f t="shared" si="6"/>
        <v>0.58450000000000002</v>
      </c>
      <c r="Q23" s="16">
        <f t="shared" si="6"/>
        <v>0.8095</v>
      </c>
      <c r="R23" s="17">
        <f t="shared" si="6"/>
        <v>0.69350000000000001</v>
      </c>
      <c r="S23" s="16">
        <f t="shared" si="6"/>
        <v>0.84250000000000003</v>
      </c>
      <c r="T23" s="17">
        <f t="shared" si="6"/>
        <v>0.6855</v>
      </c>
      <c r="U23" s="16">
        <f t="shared" si="6"/>
        <v>0.72550000000000003</v>
      </c>
      <c r="V23" s="17">
        <f t="shared" si="6"/>
        <v>0.67149999999999999</v>
      </c>
      <c r="W23" s="16">
        <f t="shared" si="6"/>
        <v>0.73350000000000004</v>
      </c>
      <c r="X23" s="17">
        <f t="shared" si="6"/>
        <v>0.65100000000000002</v>
      </c>
      <c r="Y23" s="16">
        <f t="shared" si="6"/>
        <v>0.69299999999999995</v>
      </c>
      <c r="Z23" s="17">
        <f t="shared" si="6"/>
        <v>0.68100000000000005</v>
      </c>
      <c r="AA23" s="11">
        <f>SMALL((C23,E23,G23,I23,K23,M23,O23,Q23,S23,U23,W23,Y23),2)</f>
        <v>0.6885</v>
      </c>
      <c r="AB23" s="11">
        <f>SMALL((D23,F23,H23,J23,L23,N23,P23,R23,T23,V23,X23,Z23),2)</f>
        <v>0.58450000000000002</v>
      </c>
    </row>
    <row r="24" spans="1:28" ht="15" customHeight="1" x14ac:dyDescent="0.25">
      <c r="A24" s="27" t="s">
        <v>36</v>
      </c>
      <c r="B24" s="7">
        <v>24</v>
      </c>
      <c r="C24" s="8">
        <v>0.39939999999999998</v>
      </c>
      <c r="D24" s="9">
        <v>0.4209</v>
      </c>
      <c r="E24" s="8">
        <v>0.60899999999999999</v>
      </c>
      <c r="F24" s="9">
        <v>0.54800000000000004</v>
      </c>
      <c r="G24" s="8">
        <v>0.63</v>
      </c>
      <c r="H24" s="9">
        <v>0.54700000000000004</v>
      </c>
      <c r="I24" s="8">
        <v>0.627</v>
      </c>
      <c r="J24" s="9">
        <v>0.56999999999999995</v>
      </c>
      <c r="K24" s="8">
        <v>0.74399999999999999</v>
      </c>
      <c r="L24" s="9">
        <v>0.65500000000000003</v>
      </c>
      <c r="M24" s="8">
        <v>0.63600000000000001</v>
      </c>
      <c r="N24" s="9">
        <v>0.58199999999999996</v>
      </c>
      <c r="O24" s="8">
        <v>0.61</v>
      </c>
      <c r="P24" s="9">
        <v>0.53700000000000003</v>
      </c>
      <c r="Q24" s="8">
        <v>0.63500000000000001</v>
      </c>
      <c r="R24" s="9">
        <v>0.58599999999999997</v>
      </c>
      <c r="S24" s="8">
        <v>0.66900000000000004</v>
      </c>
      <c r="T24" s="9">
        <v>0.6</v>
      </c>
      <c r="U24" s="8">
        <v>0.68400000000000005</v>
      </c>
      <c r="V24" s="9">
        <v>0.621</v>
      </c>
      <c r="W24" s="8">
        <v>0.64800000000000002</v>
      </c>
      <c r="X24" s="9">
        <v>0.61</v>
      </c>
      <c r="Y24" s="8">
        <v>0.63100000000000001</v>
      </c>
      <c r="Z24" s="10">
        <v>0.63100000000000001</v>
      </c>
      <c r="AA24" s="11">
        <f>SMALL((C24,E24,G24,I24,K24,M24,O24,Q24,S24,U24,W24,Y24),2)</f>
        <v>0.60899999999999999</v>
      </c>
      <c r="AB24" s="11">
        <f>SMALL((D24,F24,H24,J24,L24,N24,P24,R24,T24,V24,X24,Z24),2)</f>
        <v>0.53700000000000003</v>
      </c>
    </row>
    <row r="25" spans="1:28" ht="15" customHeight="1" x14ac:dyDescent="0.25">
      <c r="A25" s="28"/>
      <c r="B25" s="12">
        <v>360</v>
      </c>
      <c r="C25" s="13">
        <v>0.45600000000000002</v>
      </c>
      <c r="D25" s="14">
        <v>0.45400000000000001</v>
      </c>
      <c r="E25" s="13">
        <v>0.96199999999999997</v>
      </c>
      <c r="F25" s="14">
        <v>0.76600000000000001</v>
      </c>
      <c r="G25" s="13">
        <v>0.98299999999999998</v>
      </c>
      <c r="H25" s="14">
        <v>0.73899999999999999</v>
      </c>
      <c r="I25" s="13">
        <v>0.97799999999999998</v>
      </c>
      <c r="J25" s="14">
        <v>0.73599999999999999</v>
      </c>
      <c r="K25" s="13">
        <v>1.34</v>
      </c>
      <c r="L25" s="14">
        <v>0.877</v>
      </c>
      <c r="M25" s="13">
        <v>0.995</v>
      </c>
      <c r="N25" s="14">
        <v>0.78300000000000003</v>
      </c>
      <c r="O25" s="13">
        <v>1.026</v>
      </c>
      <c r="P25" s="14">
        <v>0.74399999999999999</v>
      </c>
      <c r="Q25" s="13">
        <v>0.96499999999999997</v>
      </c>
      <c r="R25" s="14">
        <v>0.78800000000000003</v>
      </c>
      <c r="S25" s="13">
        <v>1.2150000000000001</v>
      </c>
      <c r="T25" s="14">
        <v>0.86299999999999999</v>
      </c>
      <c r="U25" s="13">
        <v>0.98699999999999999</v>
      </c>
      <c r="V25" s="14">
        <v>0.78</v>
      </c>
      <c r="W25" s="13">
        <v>1.02</v>
      </c>
      <c r="X25" s="14">
        <v>0.81899999999999995</v>
      </c>
      <c r="Y25" s="13">
        <v>0.98</v>
      </c>
      <c r="Z25" s="18">
        <v>0.82399999999999995</v>
      </c>
      <c r="AA25" s="11">
        <f>SMALL((C25,E25,G25,I25,K25,M25,O25,Q25,S25,U25,W25,Y25),2)</f>
        <v>0.96199999999999997</v>
      </c>
      <c r="AB25" s="11">
        <f>SMALL((D25,F25,H25,J25,L25,N25,P25,R25,T25,V25,X25,Z25),2)</f>
        <v>0.73599999999999999</v>
      </c>
    </row>
    <row r="26" spans="1:28" ht="15" customHeight="1" thickBot="1" x14ac:dyDescent="0.3">
      <c r="A26" s="29"/>
      <c r="B26" s="15" t="s">
        <v>11</v>
      </c>
      <c r="C26" s="16">
        <f>ROUND(AVERAGE(C24:C25),4)</f>
        <v>0.42770000000000002</v>
      </c>
      <c r="D26" s="17">
        <f>ROUND(AVERAGE(D24:D25),4)</f>
        <v>0.4375</v>
      </c>
      <c r="E26" s="16">
        <f t="shared" ref="E26:Z26" si="7">ROUND(AVERAGE(E24:E25),4)</f>
        <v>0.78549999999999998</v>
      </c>
      <c r="F26" s="17">
        <f t="shared" si="7"/>
        <v>0.65700000000000003</v>
      </c>
      <c r="G26" s="16">
        <f t="shared" si="7"/>
        <v>0.80649999999999999</v>
      </c>
      <c r="H26" s="17">
        <f t="shared" si="7"/>
        <v>0.64300000000000002</v>
      </c>
      <c r="I26" s="16">
        <f t="shared" si="7"/>
        <v>0.80249999999999999</v>
      </c>
      <c r="J26" s="17">
        <f t="shared" si="7"/>
        <v>0.65300000000000002</v>
      </c>
      <c r="K26" s="16">
        <f t="shared" si="7"/>
        <v>1.042</v>
      </c>
      <c r="L26" s="17">
        <f t="shared" si="7"/>
        <v>0.76600000000000001</v>
      </c>
      <c r="M26" s="16">
        <f t="shared" si="7"/>
        <v>0.8155</v>
      </c>
      <c r="N26" s="17">
        <f t="shared" si="7"/>
        <v>0.6825</v>
      </c>
      <c r="O26" s="16">
        <f t="shared" si="7"/>
        <v>0.81799999999999995</v>
      </c>
      <c r="P26" s="17">
        <f t="shared" si="7"/>
        <v>0.64049999999999996</v>
      </c>
      <c r="Q26" s="16">
        <f t="shared" si="7"/>
        <v>0.8</v>
      </c>
      <c r="R26" s="17">
        <f t="shared" si="7"/>
        <v>0.68700000000000006</v>
      </c>
      <c r="S26" s="16">
        <f t="shared" si="7"/>
        <v>0.94199999999999995</v>
      </c>
      <c r="T26" s="17">
        <f t="shared" si="7"/>
        <v>0.73150000000000004</v>
      </c>
      <c r="U26" s="16">
        <f t="shared" si="7"/>
        <v>0.83550000000000002</v>
      </c>
      <c r="V26" s="17">
        <f t="shared" si="7"/>
        <v>0.70050000000000001</v>
      </c>
      <c r="W26" s="16">
        <f t="shared" si="7"/>
        <v>0.83399999999999996</v>
      </c>
      <c r="X26" s="17">
        <f t="shared" si="7"/>
        <v>0.71450000000000002</v>
      </c>
      <c r="Y26" s="16">
        <f t="shared" si="7"/>
        <v>0.80549999999999999</v>
      </c>
      <c r="Z26" s="17">
        <f t="shared" si="7"/>
        <v>0.72750000000000004</v>
      </c>
      <c r="AA26" s="11">
        <f>SMALL((C26,E26,G26,I26,K26,M26,O26,Q26,S26,U26,W26,Y26),2)</f>
        <v>0.78549999999999998</v>
      </c>
      <c r="AB26" s="11">
        <f>SMALL((D26,F26,H26,J26,L26,N26,P26,R26,T26,V26,X26,Z26),2)</f>
        <v>0.64049999999999996</v>
      </c>
    </row>
    <row r="27" spans="1:28" ht="15" customHeight="1" x14ac:dyDescent="0.25">
      <c r="A27" s="27" t="s">
        <v>37</v>
      </c>
      <c r="B27" s="7">
        <v>24</v>
      </c>
      <c r="C27" s="8">
        <v>0.39489999999999997</v>
      </c>
      <c r="D27" s="9">
        <v>0.4214</v>
      </c>
      <c r="E27" s="8">
        <v>0.64700000000000002</v>
      </c>
      <c r="F27" s="9">
        <v>0.59099999999999997</v>
      </c>
      <c r="G27" s="8">
        <v>0.65100000000000002</v>
      </c>
      <c r="H27" s="9">
        <v>0.57799999999999996</v>
      </c>
      <c r="I27" s="8">
        <v>0.65100000000000002</v>
      </c>
      <c r="J27" s="9">
        <v>0.58499999999999996</v>
      </c>
      <c r="K27" s="8">
        <v>0.754</v>
      </c>
      <c r="L27" s="9">
        <v>0.67</v>
      </c>
      <c r="M27" s="8">
        <v>0.71299999999999997</v>
      </c>
      <c r="N27" s="9">
        <v>0.64</v>
      </c>
      <c r="O27" s="8">
        <v>0.67300000000000004</v>
      </c>
      <c r="P27" s="9">
        <v>0.57499999999999996</v>
      </c>
      <c r="Q27" s="8">
        <v>0.68700000000000006</v>
      </c>
      <c r="R27" s="9">
        <v>0.65200000000000002</v>
      </c>
      <c r="S27" s="8">
        <v>1.111</v>
      </c>
      <c r="T27" s="9">
        <v>0.81599999999999995</v>
      </c>
      <c r="U27" s="8">
        <v>0.755</v>
      </c>
      <c r="V27" s="9">
        <v>0.67900000000000005</v>
      </c>
      <c r="W27" s="8">
        <v>0.66900000000000004</v>
      </c>
      <c r="X27" s="9">
        <v>0.629</v>
      </c>
      <c r="Y27" s="8">
        <v>0.73599999999999999</v>
      </c>
      <c r="Z27" s="10">
        <v>0.72099999999999997</v>
      </c>
      <c r="AA27" s="11">
        <f>SMALL((C27,E27,G27,I27,K27,M27,O27,Q27,S27,U27,W27,Y27),2)</f>
        <v>0.64700000000000002</v>
      </c>
      <c r="AB27" s="11">
        <f>SMALL((D27,F27,H27,J27,L27,N27,P27,R27,T27,V27,X27,Z27),2)</f>
        <v>0.57499999999999996</v>
      </c>
    </row>
    <row r="28" spans="1:28" ht="15" customHeight="1" x14ac:dyDescent="0.25">
      <c r="A28" s="28"/>
      <c r="B28" s="12">
        <v>360</v>
      </c>
      <c r="C28" s="13">
        <v>0.44140000000000001</v>
      </c>
      <c r="D28" s="14">
        <v>0.47889999999999999</v>
      </c>
      <c r="E28" s="13">
        <v>0.82</v>
      </c>
      <c r="F28" s="14">
        <v>0.69399999999999995</v>
      </c>
      <c r="G28" s="13">
        <v>0.83</v>
      </c>
      <c r="H28" s="14">
        <v>0.67700000000000005</v>
      </c>
      <c r="I28" s="13">
        <v>0.84099999999999997</v>
      </c>
      <c r="J28" s="14">
        <v>0.7</v>
      </c>
      <c r="K28" s="13">
        <v>0.83099999999999996</v>
      </c>
      <c r="L28" s="14">
        <v>0.72399999999999998</v>
      </c>
      <c r="M28" s="13">
        <v>0.89600000000000002</v>
      </c>
      <c r="N28" s="14">
        <v>0.755</v>
      </c>
      <c r="O28" s="13">
        <v>0.88600000000000001</v>
      </c>
      <c r="P28" s="14">
        <v>0.71199999999999997</v>
      </c>
      <c r="Q28" s="13">
        <v>0.84899999999999998</v>
      </c>
      <c r="R28" s="14">
        <v>0.752</v>
      </c>
      <c r="S28" s="13">
        <v>1.089</v>
      </c>
      <c r="T28" s="14">
        <v>0.82299999999999995</v>
      </c>
      <c r="U28" s="13">
        <v>0.85299999999999998</v>
      </c>
      <c r="V28" s="14">
        <v>0.76200000000000001</v>
      </c>
      <c r="W28" s="13">
        <v>0.93899999999999995</v>
      </c>
      <c r="X28" s="14">
        <v>0.80400000000000005</v>
      </c>
      <c r="Y28" s="13">
        <v>0.82899999999999996</v>
      </c>
      <c r="Z28" s="18">
        <v>0.78100000000000003</v>
      </c>
      <c r="AA28" s="11">
        <f>SMALL((C28,E28,G28,I28,K28,M28,O28,Q28,S28,U28,W28,Y28),2)</f>
        <v>0.82</v>
      </c>
      <c r="AB28" s="11">
        <f>SMALL((D28,F28,H28,J28,L28,N28,P28,R28,T28,V28,X28,Z28),2)</f>
        <v>0.67700000000000005</v>
      </c>
    </row>
    <row r="29" spans="1:28" ht="15" customHeight="1" thickBot="1" x14ac:dyDescent="0.3">
      <c r="A29" s="29"/>
      <c r="B29" s="15" t="s">
        <v>11</v>
      </c>
      <c r="C29" s="16">
        <f>ROUND(AVERAGE(C27:C28),4)</f>
        <v>0.41820000000000002</v>
      </c>
      <c r="D29" s="17">
        <f>ROUND(AVERAGE(D27:D28),4)</f>
        <v>0.45019999999999999</v>
      </c>
      <c r="E29" s="16">
        <f t="shared" ref="E29:Z29" si="8">ROUND(AVERAGE(E27:E28),4)</f>
        <v>0.73350000000000004</v>
      </c>
      <c r="F29" s="17">
        <f t="shared" si="8"/>
        <v>0.64249999999999996</v>
      </c>
      <c r="G29" s="16">
        <f t="shared" si="8"/>
        <v>0.74050000000000005</v>
      </c>
      <c r="H29" s="17">
        <f t="shared" si="8"/>
        <v>0.62749999999999995</v>
      </c>
      <c r="I29" s="16">
        <f t="shared" si="8"/>
        <v>0.746</v>
      </c>
      <c r="J29" s="17">
        <f t="shared" si="8"/>
        <v>0.64249999999999996</v>
      </c>
      <c r="K29" s="16">
        <f t="shared" si="8"/>
        <v>0.79249999999999998</v>
      </c>
      <c r="L29" s="17">
        <f t="shared" si="8"/>
        <v>0.69699999999999995</v>
      </c>
      <c r="M29" s="16">
        <f t="shared" si="8"/>
        <v>0.80449999999999999</v>
      </c>
      <c r="N29" s="17">
        <f t="shared" si="8"/>
        <v>0.69750000000000001</v>
      </c>
      <c r="O29" s="16">
        <f t="shared" si="8"/>
        <v>0.77949999999999997</v>
      </c>
      <c r="P29" s="17">
        <f t="shared" si="8"/>
        <v>0.64349999999999996</v>
      </c>
      <c r="Q29" s="16">
        <f t="shared" si="8"/>
        <v>0.76800000000000002</v>
      </c>
      <c r="R29" s="17">
        <f t="shared" si="8"/>
        <v>0.70199999999999996</v>
      </c>
      <c r="S29" s="16">
        <f t="shared" si="8"/>
        <v>1.1000000000000001</v>
      </c>
      <c r="T29" s="17">
        <f t="shared" si="8"/>
        <v>0.81950000000000001</v>
      </c>
      <c r="U29" s="16">
        <f t="shared" si="8"/>
        <v>0.80400000000000005</v>
      </c>
      <c r="V29" s="17">
        <f t="shared" si="8"/>
        <v>0.72050000000000003</v>
      </c>
      <c r="W29" s="16">
        <f t="shared" si="8"/>
        <v>0.80400000000000005</v>
      </c>
      <c r="X29" s="17">
        <f t="shared" si="8"/>
        <v>0.71650000000000003</v>
      </c>
      <c r="Y29" s="16">
        <f t="shared" si="8"/>
        <v>0.78249999999999997</v>
      </c>
      <c r="Z29" s="17">
        <f t="shared" si="8"/>
        <v>0.751</v>
      </c>
      <c r="AA29" s="11">
        <f>SMALL((C29,E29,G29,I29,K29,M29,O29,Q29,S29,U29,W29,Y29),2)</f>
        <v>0.73350000000000004</v>
      </c>
      <c r="AB29" s="11">
        <f>SMALL((D29,F29,H29,J29,L29,N29,P29,R29,T29,V29,X29,Z29),2)</f>
        <v>0.62749999999999995</v>
      </c>
    </row>
    <row r="30" spans="1:28" ht="15" customHeight="1" x14ac:dyDescent="0.25">
      <c r="A30" s="27" t="s">
        <v>38</v>
      </c>
      <c r="B30" s="7">
        <v>24</v>
      </c>
      <c r="C30" s="8">
        <v>0.41899999999999998</v>
      </c>
      <c r="D30" s="9">
        <v>0.441</v>
      </c>
      <c r="E30" s="8">
        <v>0.73899999999999999</v>
      </c>
      <c r="F30" s="9">
        <v>0.63500000000000001</v>
      </c>
      <c r="G30" s="8">
        <v>0.79800000000000004</v>
      </c>
      <c r="H30" s="9">
        <v>0.64500000000000002</v>
      </c>
      <c r="I30" s="8">
        <v>0.82</v>
      </c>
      <c r="J30" s="9">
        <v>0.67700000000000005</v>
      </c>
      <c r="K30" s="8">
        <v>0.81100000000000005</v>
      </c>
      <c r="L30" s="9">
        <v>0.71399999999999997</v>
      </c>
      <c r="M30" s="8">
        <v>0.78400000000000003</v>
      </c>
      <c r="N30" s="9">
        <v>0.67400000000000004</v>
      </c>
      <c r="O30" s="8">
        <v>0.97399999999999998</v>
      </c>
      <c r="P30" s="9">
        <v>0.69199999999999995</v>
      </c>
      <c r="Q30" s="8">
        <v>0.81</v>
      </c>
      <c r="R30" s="9">
        <v>0.71799999999999997</v>
      </c>
      <c r="S30" s="8">
        <v>0.83399999999999996</v>
      </c>
      <c r="T30" s="9">
        <v>0.69099999999999995</v>
      </c>
      <c r="U30" s="8">
        <v>0.89200000000000002</v>
      </c>
      <c r="V30" s="9">
        <v>0.74</v>
      </c>
      <c r="W30" s="8">
        <v>0.76900000000000002</v>
      </c>
      <c r="X30" s="9">
        <v>0.68</v>
      </c>
      <c r="Y30" s="8">
        <v>0.83799999999999997</v>
      </c>
      <c r="Z30" s="10">
        <v>0.75900000000000001</v>
      </c>
      <c r="AA30" s="11">
        <f>SMALL((C30,E30,G30,I30,K30,M30,O30,Q30,S30,U30,W30,Y30),2)</f>
        <v>0.73899999999999999</v>
      </c>
      <c r="AB30" s="11">
        <f>SMALL((D30,F30,H30,J30,L30,N30,P30,R30,T30,V30,X30,Z30),2)</f>
        <v>0.63500000000000001</v>
      </c>
    </row>
    <row r="31" spans="1:28" ht="15" customHeight="1" x14ac:dyDescent="0.25">
      <c r="A31" s="28"/>
      <c r="B31" s="12">
        <v>360</v>
      </c>
      <c r="C31" s="13">
        <v>0.48499999999999999</v>
      </c>
      <c r="D31" s="14">
        <v>0.48280000000000001</v>
      </c>
      <c r="E31" s="13">
        <v>1</v>
      </c>
      <c r="F31" s="14">
        <v>0.755</v>
      </c>
      <c r="G31" s="13">
        <v>0.97399999999999998</v>
      </c>
      <c r="H31" s="14">
        <v>0.75700000000000001</v>
      </c>
      <c r="I31" s="13">
        <v>0.96199999999999997</v>
      </c>
      <c r="J31" s="14">
        <v>0.76100000000000001</v>
      </c>
      <c r="K31" s="13">
        <v>1.0409999999999999</v>
      </c>
      <c r="L31" s="14">
        <v>0.77700000000000002</v>
      </c>
      <c r="M31" s="13">
        <v>1.056</v>
      </c>
      <c r="N31" s="14">
        <v>0.82899999999999996</v>
      </c>
      <c r="O31" s="13">
        <v>1.0389999999999999</v>
      </c>
      <c r="P31" s="14">
        <v>0.73699999999999999</v>
      </c>
      <c r="Q31" s="13">
        <v>1.1020000000000001</v>
      </c>
      <c r="R31" s="14">
        <v>0.83</v>
      </c>
      <c r="S31" s="13">
        <v>1.1259999999999999</v>
      </c>
      <c r="T31" s="14">
        <v>0.84499999999999997</v>
      </c>
      <c r="U31" s="13">
        <v>0.99</v>
      </c>
      <c r="V31" s="14">
        <v>0.82499999999999996</v>
      </c>
      <c r="W31" s="13">
        <v>1.28</v>
      </c>
      <c r="X31" s="14">
        <v>0.92500000000000004</v>
      </c>
      <c r="Y31" s="13">
        <v>0.98899999999999999</v>
      </c>
      <c r="Z31" s="18">
        <v>0.83699999999999997</v>
      </c>
      <c r="AA31" s="11">
        <f>SMALL((C31,E31,G31,I31,K31,M31,O31,Q31,S31,U31,W31,Y31),2)</f>
        <v>0.96199999999999997</v>
      </c>
      <c r="AB31" s="11">
        <f>SMALL((D31,F31,H31,J31,L31,N31,P31,R31,T31,V31,X31,Z31),2)</f>
        <v>0.73699999999999999</v>
      </c>
    </row>
    <row r="32" spans="1:28" ht="15" customHeight="1" thickBot="1" x14ac:dyDescent="0.3">
      <c r="A32" s="29"/>
      <c r="B32" s="15" t="s">
        <v>11</v>
      </c>
      <c r="C32" s="16">
        <f>ROUND(AVERAGE(C30:C31),4)</f>
        <v>0.45200000000000001</v>
      </c>
      <c r="D32" s="17">
        <f>ROUND(AVERAGE(D30:D31),4)</f>
        <v>0.46189999999999998</v>
      </c>
      <c r="E32" s="16">
        <f t="shared" ref="E32:Z32" si="9">ROUND(AVERAGE(E30:E31),4)</f>
        <v>0.86950000000000005</v>
      </c>
      <c r="F32" s="17">
        <f t="shared" si="9"/>
        <v>0.69499999999999995</v>
      </c>
      <c r="G32" s="16">
        <f t="shared" si="9"/>
        <v>0.88600000000000001</v>
      </c>
      <c r="H32" s="17">
        <f t="shared" si="9"/>
        <v>0.70099999999999996</v>
      </c>
      <c r="I32" s="16">
        <f t="shared" si="9"/>
        <v>0.89100000000000001</v>
      </c>
      <c r="J32" s="17">
        <f t="shared" si="9"/>
        <v>0.71899999999999997</v>
      </c>
      <c r="K32" s="16">
        <f t="shared" si="9"/>
        <v>0.92600000000000005</v>
      </c>
      <c r="L32" s="17">
        <f t="shared" si="9"/>
        <v>0.74550000000000005</v>
      </c>
      <c r="M32" s="16">
        <f t="shared" si="9"/>
        <v>0.92</v>
      </c>
      <c r="N32" s="17">
        <f t="shared" si="9"/>
        <v>0.75149999999999995</v>
      </c>
      <c r="O32" s="16">
        <f t="shared" si="9"/>
        <v>1.0065</v>
      </c>
      <c r="P32" s="17">
        <f t="shared" si="9"/>
        <v>0.71450000000000002</v>
      </c>
      <c r="Q32" s="16">
        <f t="shared" si="9"/>
        <v>0.95599999999999996</v>
      </c>
      <c r="R32" s="17">
        <f t="shared" si="9"/>
        <v>0.77400000000000002</v>
      </c>
      <c r="S32" s="16">
        <f t="shared" si="9"/>
        <v>0.98</v>
      </c>
      <c r="T32" s="17">
        <f t="shared" si="9"/>
        <v>0.76800000000000002</v>
      </c>
      <c r="U32" s="16">
        <f t="shared" si="9"/>
        <v>0.94099999999999995</v>
      </c>
      <c r="V32" s="17">
        <f t="shared" si="9"/>
        <v>0.78249999999999997</v>
      </c>
      <c r="W32" s="16">
        <f t="shared" si="9"/>
        <v>1.0245</v>
      </c>
      <c r="X32" s="17">
        <f t="shared" si="9"/>
        <v>0.80249999999999999</v>
      </c>
      <c r="Y32" s="16">
        <f t="shared" si="9"/>
        <v>0.91349999999999998</v>
      </c>
      <c r="Z32" s="17">
        <f t="shared" si="9"/>
        <v>0.79800000000000004</v>
      </c>
      <c r="AA32" s="11">
        <f>SMALL((C32,E32,G32,I32,K32,M32,O32,Q32,S32,U32,W32,Y32),2)</f>
        <v>0.86950000000000005</v>
      </c>
      <c r="AB32" s="11">
        <f>SMALL((D32,F32,H32,J32,L32,N32,P32,R32,T32,V32,X32,Z32),2)</f>
        <v>0.69499999999999995</v>
      </c>
    </row>
    <row r="33" spans="1:28" ht="15" customHeight="1" x14ac:dyDescent="0.25">
      <c r="A33" s="27" t="s">
        <v>39</v>
      </c>
      <c r="B33" s="7">
        <v>24</v>
      </c>
      <c r="C33" s="8">
        <v>5.5599999999999997E-2</v>
      </c>
      <c r="D33" s="9">
        <v>9.0899999999999995E-2</v>
      </c>
      <c r="E33" s="8">
        <v>7.1999999999999995E-2</v>
      </c>
      <c r="F33" s="9">
        <v>0.10199999999999999</v>
      </c>
      <c r="G33" s="8">
        <v>7.0000000000000007E-2</v>
      </c>
      <c r="H33" s="9">
        <v>9.4E-2</v>
      </c>
      <c r="I33" s="8">
        <v>8.4000000000000005E-2</v>
      </c>
      <c r="J33" s="9">
        <v>0.14599999999999999</v>
      </c>
      <c r="K33" s="8">
        <v>0.44900000000000001</v>
      </c>
      <c r="L33" s="9">
        <v>0.27900000000000003</v>
      </c>
      <c r="M33" s="8">
        <v>9.4E-2</v>
      </c>
      <c r="N33" s="9">
        <v>0.14000000000000001</v>
      </c>
      <c r="O33" s="8">
        <v>7.0999999999999994E-2</v>
      </c>
      <c r="P33" s="9">
        <v>0.10299999999999999</v>
      </c>
      <c r="Q33" s="8">
        <v>6.8000000000000005E-2</v>
      </c>
      <c r="R33" s="9">
        <v>0.10100000000000001</v>
      </c>
      <c r="S33" s="8">
        <v>7.6999999999999999E-2</v>
      </c>
      <c r="T33" s="9">
        <v>0.12</v>
      </c>
      <c r="U33" s="8">
        <v>9.0999999999999998E-2</v>
      </c>
      <c r="V33" s="9">
        <v>0.129</v>
      </c>
      <c r="W33" s="8">
        <v>8.3000000000000004E-2</v>
      </c>
      <c r="X33" s="9">
        <v>0.125</v>
      </c>
      <c r="Y33" s="8">
        <v>7.6999999999999999E-2</v>
      </c>
      <c r="Z33" s="10">
        <v>0.13500000000000001</v>
      </c>
      <c r="AA33" s="11">
        <f>SMALL((C33,E33,G33,I33,K33,M33,O33,Q33,S33,U33,W33,Y33),2)</f>
        <v>6.8000000000000005E-2</v>
      </c>
      <c r="AB33" s="11">
        <f>SMALL((D33,F33,H33,J33,L33,N33,P33,R33,T33,V33,X33,Z33),2)</f>
        <v>9.4E-2</v>
      </c>
    </row>
    <row r="34" spans="1:28" ht="15" customHeight="1" x14ac:dyDescent="0.25">
      <c r="A34" s="28"/>
      <c r="B34" s="12">
        <v>360</v>
      </c>
      <c r="C34" s="13">
        <v>0.1479</v>
      </c>
      <c r="D34" s="14">
        <v>0.2351</v>
      </c>
      <c r="E34" s="13">
        <v>0.161</v>
      </c>
      <c r="F34" s="14">
        <v>0.20799999999999999</v>
      </c>
      <c r="G34" s="13">
        <v>0.16800000000000001</v>
      </c>
      <c r="H34" s="14">
        <v>0.23599999999999999</v>
      </c>
      <c r="I34" s="13">
        <v>0.18</v>
      </c>
      <c r="J34" s="14">
        <v>0.28999999999999998</v>
      </c>
      <c r="K34" s="13">
        <v>0.66300000000000003</v>
      </c>
      <c r="L34" s="14">
        <v>0.49399999999999999</v>
      </c>
      <c r="M34" s="13">
        <v>0.28000000000000003</v>
      </c>
      <c r="N34" s="14">
        <v>0.34300000000000003</v>
      </c>
      <c r="O34" s="13">
        <v>0.221</v>
      </c>
      <c r="P34" s="14">
        <v>0.28999999999999998</v>
      </c>
      <c r="Q34" s="13">
        <v>0.19</v>
      </c>
      <c r="R34" s="14">
        <v>0.28899999999999998</v>
      </c>
      <c r="S34" s="13">
        <v>0.22700000000000001</v>
      </c>
      <c r="T34" s="14">
        <v>0.30099999999999999</v>
      </c>
      <c r="U34" s="13">
        <v>0.311</v>
      </c>
      <c r="V34" s="14">
        <v>0.377</v>
      </c>
      <c r="W34" s="13">
        <v>0.217</v>
      </c>
      <c r="X34" s="14">
        <v>0.316</v>
      </c>
      <c r="Y34" s="13">
        <v>0.318</v>
      </c>
      <c r="Z34" s="18">
        <v>0.35899999999999999</v>
      </c>
      <c r="AA34" s="11">
        <f>SMALL((C34,E34,G34,I34,K34,M34,O34,Q34,S34,U34,W34,Y34),2)</f>
        <v>0.161</v>
      </c>
      <c r="AB34" s="11">
        <f>SMALL((D34,F34,H34,J34,L34,N34,P34,R34,T34,V34,X34,Z34),2)</f>
        <v>0.2351</v>
      </c>
    </row>
    <row r="35" spans="1:28" ht="15" customHeight="1" thickBot="1" x14ac:dyDescent="0.3">
      <c r="A35" s="29"/>
      <c r="B35" s="15" t="s">
        <v>11</v>
      </c>
      <c r="C35" s="16">
        <f>ROUND(AVERAGE(C33:C34),4)</f>
        <v>0.1018</v>
      </c>
      <c r="D35" s="17">
        <f>ROUND(AVERAGE(D33:D34),4)</f>
        <v>0.16300000000000001</v>
      </c>
      <c r="E35" s="16">
        <f t="shared" ref="E35:Z35" si="10">ROUND(AVERAGE(E33:E34),4)</f>
        <v>0.11650000000000001</v>
      </c>
      <c r="F35" s="17">
        <f t="shared" si="10"/>
        <v>0.155</v>
      </c>
      <c r="G35" s="16">
        <f t="shared" si="10"/>
        <v>0.11899999999999999</v>
      </c>
      <c r="H35" s="17">
        <f t="shared" si="10"/>
        <v>0.16500000000000001</v>
      </c>
      <c r="I35" s="16">
        <f t="shared" si="10"/>
        <v>0.13200000000000001</v>
      </c>
      <c r="J35" s="17">
        <f t="shared" si="10"/>
        <v>0.218</v>
      </c>
      <c r="K35" s="16">
        <f t="shared" si="10"/>
        <v>0.55600000000000005</v>
      </c>
      <c r="L35" s="17">
        <f t="shared" si="10"/>
        <v>0.38650000000000001</v>
      </c>
      <c r="M35" s="16">
        <f t="shared" si="10"/>
        <v>0.187</v>
      </c>
      <c r="N35" s="17">
        <f t="shared" si="10"/>
        <v>0.24149999999999999</v>
      </c>
      <c r="O35" s="16">
        <f t="shared" si="10"/>
        <v>0.14599999999999999</v>
      </c>
      <c r="P35" s="17">
        <f t="shared" si="10"/>
        <v>0.19650000000000001</v>
      </c>
      <c r="Q35" s="16">
        <f t="shared" si="10"/>
        <v>0.129</v>
      </c>
      <c r="R35" s="17">
        <f t="shared" si="10"/>
        <v>0.19500000000000001</v>
      </c>
      <c r="S35" s="16">
        <f t="shared" si="10"/>
        <v>0.152</v>
      </c>
      <c r="T35" s="17">
        <f t="shared" si="10"/>
        <v>0.21049999999999999</v>
      </c>
      <c r="U35" s="16">
        <f t="shared" si="10"/>
        <v>0.20100000000000001</v>
      </c>
      <c r="V35" s="17">
        <f t="shared" si="10"/>
        <v>0.253</v>
      </c>
      <c r="W35" s="16">
        <f t="shared" si="10"/>
        <v>0.15</v>
      </c>
      <c r="X35" s="17">
        <f t="shared" si="10"/>
        <v>0.2205</v>
      </c>
      <c r="Y35" s="16">
        <f t="shared" si="10"/>
        <v>0.19750000000000001</v>
      </c>
      <c r="Z35" s="17">
        <f t="shared" si="10"/>
        <v>0.247</v>
      </c>
      <c r="AA35" s="11">
        <f>SMALL((C35,E35,G35,I35,K35,M35,O35,Q35,S35,U35,W35,Y35),2)</f>
        <v>0.11650000000000001</v>
      </c>
      <c r="AB35" s="11">
        <f>SMALL((D35,F35,H35,J35,L35,N35,P35,R35,T35,V35,X35,Z35),2)</f>
        <v>0.16300000000000001</v>
      </c>
    </row>
    <row r="36" spans="1:28" ht="15" customHeight="1" x14ac:dyDescent="0.25">
      <c r="A36" s="27" t="s">
        <v>40</v>
      </c>
      <c r="B36" s="7">
        <v>24</v>
      </c>
      <c r="C36" s="8">
        <v>0.1804</v>
      </c>
      <c r="D36" s="9">
        <v>0.21110000000000001</v>
      </c>
      <c r="E36" s="8">
        <v>0.19500000000000001</v>
      </c>
      <c r="F36" s="9">
        <v>0.215</v>
      </c>
      <c r="G36" s="8">
        <v>0.217</v>
      </c>
      <c r="H36" s="9">
        <v>0.221</v>
      </c>
      <c r="I36" s="8">
        <v>0.30099999999999999</v>
      </c>
      <c r="J36" s="9">
        <v>0.308</v>
      </c>
      <c r="K36" s="8">
        <v>0.23799999999999999</v>
      </c>
      <c r="L36" s="9">
        <v>0.27400000000000002</v>
      </c>
      <c r="M36" s="8">
        <v>0.23899999999999999</v>
      </c>
      <c r="N36" s="9">
        <v>0.27</v>
      </c>
      <c r="O36" s="8">
        <v>0.222</v>
      </c>
      <c r="P36" s="9">
        <v>0.221</v>
      </c>
      <c r="Q36" s="8">
        <v>0.20100000000000001</v>
      </c>
      <c r="R36" s="9">
        <v>0.224</v>
      </c>
      <c r="S36" s="8">
        <v>0.24</v>
      </c>
      <c r="T36" s="9">
        <v>0.25900000000000001</v>
      </c>
      <c r="U36" s="8">
        <v>0.22600000000000001</v>
      </c>
      <c r="V36" s="9">
        <v>0.23799999999999999</v>
      </c>
      <c r="W36" s="8">
        <v>0.215</v>
      </c>
      <c r="X36" s="9">
        <v>0.23200000000000001</v>
      </c>
      <c r="Y36" s="8">
        <v>0.223</v>
      </c>
      <c r="Z36" s="10">
        <v>0.253</v>
      </c>
      <c r="AA36" s="11">
        <f>SMALL((C36,E36,G36,I36,K36,M36,O36,Q36,S36,U36,W36,Y36),2)</f>
        <v>0.19500000000000001</v>
      </c>
      <c r="AB36" s="11">
        <f>SMALL((D36,F36,H36,J36,L36,N36,P36,R36,T36,V36,X36,Z36),2)</f>
        <v>0.215</v>
      </c>
    </row>
    <row r="37" spans="1:28" ht="15" customHeight="1" x14ac:dyDescent="0.25">
      <c r="A37" s="28"/>
      <c r="B37" s="12">
        <v>360</v>
      </c>
      <c r="C37" s="13">
        <v>0.2737</v>
      </c>
      <c r="D37" s="14">
        <v>0.32800000000000001</v>
      </c>
      <c r="E37" s="13">
        <v>0.32700000000000001</v>
      </c>
      <c r="F37" s="14">
        <v>0.34699999999999998</v>
      </c>
      <c r="G37" s="13">
        <v>0.313</v>
      </c>
      <c r="H37" s="14">
        <v>0.34599999999999997</v>
      </c>
      <c r="I37" s="13">
        <v>0.38700000000000001</v>
      </c>
      <c r="J37" s="14">
        <v>0.41599999999999998</v>
      </c>
      <c r="K37" s="13">
        <v>0.377</v>
      </c>
      <c r="L37" s="14">
        <v>0.39400000000000002</v>
      </c>
      <c r="M37" s="13">
        <v>0.40899999999999997</v>
      </c>
      <c r="N37" s="14">
        <v>0.44400000000000001</v>
      </c>
      <c r="O37" s="13">
        <v>0.38700000000000001</v>
      </c>
      <c r="P37" s="14">
        <v>0.38600000000000001</v>
      </c>
      <c r="Q37" s="13">
        <v>0.28000000000000003</v>
      </c>
      <c r="R37" s="14">
        <v>0.374</v>
      </c>
      <c r="S37" s="13">
        <v>0.433</v>
      </c>
      <c r="T37" s="14">
        <v>0.436</v>
      </c>
      <c r="U37" s="13">
        <v>0.45800000000000002</v>
      </c>
      <c r="V37" s="14">
        <v>0.437</v>
      </c>
      <c r="W37" s="13">
        <v>0.436</v>
      </c>
      <c r="X37" s="14">
        <v>0.436</v>
      </c>
      <c r="Y37" s="13">
        <v>0.41399999999999998</v>
      </c>
      <c r="Z37" s="18">
        <v>0.42299999999999999</v>
      </c>
      <c r="AA37" s="11">
        <f>SMALL((C37,E37,G37,I37,K37,M37,O37,Q37,S37,U37,W37,Y37),2)</f>
        <v>0.28000000000000003</v>
      </c>
      <c r="AB37" s="11">
        <f>SMALL((D37,F37,H37,J37,L37,N37,P37,R37,T37,V37,X37,Z37),2)</f>
        <v>0.34599999999999997</v>
      </c>
    </row>
    <row r="38" spans="1:28" ht="15" customHeight="1" thickBot="1" x14ac:dyDescent="0.3">
      <c r="A38" s="30"/>
      <c r="B38" s="15" t="s">
        <v>11</v>
      </c>
      <c r="C38" s="16">
        <f>ROUND(AVERAGE(C36:C37),4)</f>
        <v>0.2271</v>
      </c>
      <c r="D38" s="17">
        <f>ROUND(AVERAGE(D36:D37),4)</f>
        <v>0.26960000000000001</v>
      </c>
      <c r="E38" s="16">
        <f t="shared" ref="E38:Z38" si="11">ROUND(AVERAGE(E36:E37),4)</f>
        <v>0.26100000000000001</v>
      </c>
      <c r="F38" s="17">
        <f t="shared" si="11"/>
        <v>0.28100000000000003</v>
      </c>
      <c r="G38" s="16">
        <f t="shared" si="11"/>
        <v>0.26500000000000001</v>
      </c>
      <c r="H38" s="17">
        <f t="shared" si="11"/>
        <v>0.28349999999999997</v>
      </c>
      <c r="I38" s="16">
        <f t="shared" si="11"/>
        <v>0.34399999999999997</v>
      </c>
      <c r="J38" s="17">
        <f t="shared" si="11"/>
        <v>0.36199999999999999</v>
      </c>
      <c r="K38" s="16">
        <f t="shared" si="11"/>
        <v>0.3075</v>
      </c>
      <c r="L38" s="17">
        <f t="shared" si="11"/>
        <v>0.33400000000000002</v>
      </c>
      <c r="M38" s="16">
        <f t="shared" si="11"/>
        <v>0.32400000000000001</v>
      </c>
      <c r="N38" s="17">
        <f t="shared" si="11"/>
        <v>0.35699999999999998</v>
      </c>
      <c r="O38" s="16">
        <f t="shared" si="11"/>
        <v>0.30449999999999999</v>
      </c>
      <c r="P38" s="17">
        <f t="shared" si="11"/>
        <v>0.30349999999999999</v>
      </c>
      <c r="Q38" s="16">
        <f t="shared" si="11"/>
        <v>0.24049999999999999</v>
      </c>
      <c r="R38" s="17">
        <f t="shared" si="11"/>
        <v>0.29899999999999999</v>
      </c>
      <c r="S38" s="16">
        <f t="shared" si="11"/>
        <v>0.33650000000000002</v>
      </c>
      <c r="T38" s="17">
        <f t="shared" si="11"/>
        <v>0.34749999999999998</v>
      </c>
      <c r="U38" s="16">
        <f t="shared" si="11"/>
        <v>0.34200000000000003</v>
      </c>
      <c r="V38" s="17">
        <f t="shared" si="11"/>
        <v>0.33750000000000002</v>
      </c>
      <c r="W38" s="16">
        <f t="shared" si="11"/>
        <v>0.32550000000000001</v>
      </c>
      <c r="X38" s="17">
        <f t="shared" si="11"/>
        <v>0.33400000000000002</v>
      </c>
      <c r="Y38" s="16">
        <f t="shared" si="11"/>
        <v>0.31850000000000001</v>
      </c>
      <c r="Z38" s="17">
        <f t="shared" si="11"/>
        <v>0.33800000000000002</v>
      </c>
      <c r="AA38" s="11">
        <f>SMALL((C38,E38,G38,I38,K38,M38,O38,Q38,S38,U38,W38,Y38),2)</f>
        <v>0.24049999999999999</v>
      </c>
      <c r="AB38" s="11">
        <f>SMALL((D38,F38,H38,J38,L38,N38,P38,R38,T38,V38,X38,Z38),2)</f>
        <v>0.28100000000000003</v>
      </c>
    </row>
    <row r="39" spans="1:28" ht="16.5" thickBot="1" x14ac:dyDescent="0.35">
      <c r="A39" s="31" t="s">
        <v>41</v>
      </c>
      <c r="B39" s="32"/>
      <c r="C39" s="22">
        <v>51</v>
      </c>
      <c r="D39" s="22"/>
      <c r="E39" s="21">
        <v>0</v>
      </c>
      <c r="F39" s="21"/>
      <c r="G39" s="21">
        <v>3</v>
      </c>
      <c r="H39" s="21"/>
      <c r="I39" s="21">
        <v>0</v>
      </c>
      <c r="J39" s="21"/>
      <c r="K39" s="21">
        <v>0</v>
      </c>
      <c r="L39" s="21"/>
      <c r="M39" s="21">
        <v>1</v>
      </c>
      <c r="N39" s="21"/>
      <c r="O39" s="21">
        <v>3</v>
      </c>
      <c r="P39" s="21"/>
      <c r="Q39" s="21">
        <v>0</v>
      </c>
      <c r="R39" s="21"/>
      <c r="S39" s="21">
        <v>5</v>
      </c>
      <c r="T39" s="21"/>
      <c r="U39" s="23">
        <v>6</v>
      </c>
      <c r="V39" s="23"/>
      <c r="W39" s="21">
        <v>0</v>
      </c>
      <c r="X39" s="21"/>
      <c r="Y39" s="21">
        <v>1</v>
      </c>
      <c r="Z39" s="21"/>
    </row>
  </sheetData>
  <mergeCells count="27">
    <mergeCell ref="A12:A14"/>
    <mergeCell ref="M1:N1"/>
    <mergeCell ref="O1:P1"/>
    <mergeCell ref="Q1:R1"/>
    <mergeCell ref="S1:T1"/>
    <mergeCell ref="A1:B1"/>
    <mergeCell ref="C1:D1"/>
    <mergeCell ref="E1:F1"/>
    <mergeCell ref="G1:H1"/>
    <mergeCell ref="I1:J1"/>
    <mergeCell ref="K1:L1"/>
    <mergeCell ref="Y1:Z1"/>
    <mergeCell ref="A2:B2"/>
    <mergeCell ref="A3:A5"/>
    <mergeCell ref="A6:A8"/>
    <mergeCell ref="A9:A11"/>
    <mergeCell ref="U1:V1"/>
    <mergeCell ref="W1:X1"/>
    <mergeCell ref="A33:A35"/>
    <mergeCell ref="A36:A38"/>
    <mergeCell ref="A39:B39"/>
    <mergeCell ref="A15:A17"/>
    <mergeCell ref="A18:A20"/>
    <mergeCell ref="A21:A23"/>
    <mergeCell ref="A24:A26"/>
    <mergeCell ref="A27:A29"/>
    <mergeCell ref="A30:A32"/>
  </mergeCells>
  <phoneticPr fontId="1" type="noConversion"/>
  <conditionalFormatting sqref="C3:C38 E3:E38 G3:G38 I3:I38 K3:K38 M3:M38 O3:O38 Q3:Q38 S3:S38 U3:U38 W3:W38 Y3:Y38">
    <cfRule type="expression" dxfId="7" priority="2">
      <formula>C3=$AA3</formula>
    </cfRule>
    <cfRule type="expression" dxfId="6" priority="4">
      <formula>C3=MIN($C3,$E3,$G3,$I3,$K3,$M3,$O3,$Q3,$S3,$U3,$W3,$Y3)</formula>
    </cfRule>
  </conditionalFormatting>
  <conditionalFormatting sqref="D3:D38 F3:F38 H3:H38 J3:J38 L3:L38 N3:N38 P3:P38 R3:R38 T3:T38 V3:V38 X3:X38 Z3:Z38">
    <cfRule type="expression" dxfId="5" priority="1">
      <formula>D3=$AB3</formula>
    </cfRule>
    <cfRule type="expression" dxfId="4" priority="3">
      <formula>D3=MIN($D3,$F3,$H3,$J3,$L3,$N3,$P3,$R3,$T3,$V3,$X3,$Z3)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:L39"/>
  <sheetViews>
    <sheetView zoomScale="70" zoomScaleNormal="70" workbookViewId="0">
      <selection activeCell="K2" sqref="K2:L37"/>
    </sheetView>
  </sheetViews>
  <sheetFormatPr defaultColWidth="9" defaultRowHeight="14" x14ac:dyDescent="0.25"/>
  <sheetData>
    <row r="1" spans="5:12" ht="28.5" thickBot="1" x14ac:dyDescent="0.3">
      <c r="E1" s="26" t="s">
        <v>42</v>
      </c>
      <c r="F1" s="26"/>
      <c r="I1" s="19" t="s">
        <v>43</v>
      </c>
      <c r="J1" s="19" t="s">
        <v>44</v>
      </c>
      <c r="K1" s="19" t="s">
        <v>45</v>
      </c>
      <c r="L1" s="19" t="s">
        <v>46</v>
      </c>
    </row>
    <row r="2" spans="5:12" ht="14.5" thickBot="1" x14ac:dyDescent="0.3">
      <c r="E2" s="4" t="s">
        <v>7</v>
      </c>
      <c r="F2" s="4" t="s">
        <v>8</v>
      </c>
      <c r="I2" s="19" t="s">
        <v>0</v>
      </c>
      <c r="J2" s="20">
        <v>24</v>
      </c>
      <c r="K2" s="20">
        <v>0.20799999999999999</v>
      </c>
      <c r="L2" s="20">
        <v>0.23699999999999999</v>
      </c>
    </row>
    <row r="3" spans="5:12" ht="14.5" thickBot="1" x14ac:dyDescent="0.3">
      <c r="E3" s="8">
        <v>0.19700000000000001</v>
      </c>
      <c r="F3" s="9">
        <v>0.23300000000000001</v>
      </c>
      <c r="I3" s="20"/>
      <c r="J3" s="20">
        <v>360</v>
      </c>
      <c r="K3" s="20">
        <v>0.53100000000000003</v>
      </c>
      <c r="L3" s="20">
        <v>0.45900000000000002</v>
      </c>
    </row>
    <row r="4" spans="5:12" ht="14.5" thickBot="1" x14ac:dyDescent="0.3">
      <c r="E4" s="13">
        <v>0.496</v>
      </c>
      <c r="F4" s="14">
        <v>0.442</v>
      </c>
      <c r="I4" s="20"/>
      <c r="J4" s="19" t="s">
        <v>11</v>
      </c>
      <c r="K4" s="19">
        <v>0.37</v>
      </c>
      <c r="L4" s="19">
        <v>0.34799999999999998</v>
      </c>
    </row>
    <row r="5" spans="5:12" ht="14.5" thickBot="1" x14ac:dyDescent="0.3">
      <c r="E5" s="16">
        <v>0.34599999999999997</v>
      </c>
      <c r="F5" s="17">
        <v>0.33700000000000002</v>
      </c>
      <c r="I5" s="19" t="s">
        <v>17</v>
      </c>
      <c r="J5" s="20">
        <v>24</v>
      </c>
      <c r="K5" s="20">
        <v>0.06</v>
      </c>
      <c r="L5" s="20">
        <v>0.15</v>
      </c>
    </row>
    <row r="6" spans="5:12" ht="14.5" thickBot="1" x14ac:dyDescent="0.3">
      <c r="E6" s="8">
        <v>5.8000000000000003E-2</v>
      </c>
      <c r="F6" s="9">
        <v>0.14799999999999999</v>
      </c>
      <c r="I6" s="20"/>
      <c r="J6" s="20">
        <v>360</v>
      </c>
      <c r="K6" s="20">
        <v>0.129</v>
      </c>
      <c r="L6" s="20">
        <v>0.223</v>
      </c>
    </row>
    <row r="7" spans="5:12" ht="14.5" thickBot="1" x14ac:dyDescent="0.3">
      <c r="E7" s="13">
        <v>0.128</v>
      </c>
      <c r="F7" s="14">
        <v>0.223</v>
      </c>
      <c r="I7" s="20"/>
      <c r="J7" s="19" t="s">
        <v>11</v>
      </c>
      <c r="K7" s="19">
        <v>9.5000000000000001E-2</v>
      </c>
      <c r="L7" s="19">
        <v>0.187</v>
      </c>
    </row>
    <row r="8" spans="5:12" ht="14.5" thickBot="1" x14ac:dyDescent="0.3">
      <c r="E8" s="16">
        <v>9.2999999999999999E-2</v>
      </c>
      <c r="F8" s="17">
        <v>0.186</v>
      </c>
      <c r="I8" s="19" t="s">
        <v>47</v>
      </c>
      <c r="J8" s="20">
        <v>24</v>
      </c>
      <c r="K8" s="20">
        <v>0.35</v>
      </c>
      <c r="L8" s="20">
        <v>0.248</v>
      </c>
    </row>
    <row r="9" spans="5:12" ht="14.5" thickBot="1" x14ac:dyDescent="0.3">
      <c r="E9" s="8">
        <v>0.32300000000000001</v>
      </c>
      <c r="F9" s="9">
        <v>0.22700000000000001</v>
      </c>
      <c r="I9" s="20"/>
      <c r="J9" s="20">
        <v>360</v>
      </c>
      <c r="K9" s="20">
        <v>0.51100000000000001</v>
      </c>
      <c r="L9" s="20">
        <v>0.34</v>
      </c>
    </row>
    <row r="10" spans="5:12" ht="14.5" thickBot="1" x14ac:dyDescent="0.3">
      <c r="E10" s="13">
        <v>0.52400000000000002</v>
      </c>
      <c r="F10" s="14">
        <v>0.34699999999999998</v>
      </c>
      <c r="I10" s="20"/>
      <c r="J10" s="19" t="s">
        <v>11</v>
      </c>
      <c r="K10" s="19">
        <v>0.43099999999999999</v>
      </c>
      <c r="L10" s="19">
        <v>0.29399999999999998</v>
      </c>
    </row>
    <row r="11" spans="5:12" ht="14.5" thickBot="1" x14ac:dyDescent="0.3">
      <c r="E11" s="16">
        <v>0.42299999999999999</v>
      </c>
      <c r="F11" s="17">
        <v>0.28699999999999998</v>
      </c>
      <c r="I11" s="19" t="s">
        <v>18</v>
      </c>
      <c r="J11" s="20">
        <v>24</v>
      </c>
      <c r="K11" s="20">
        <v>0.34699999999999998</v>
      </c>
      <c r="L11" s="20">
        <v>0.188</v>
      </c>
    </row>
    <row r="12" spans="5:12" ht="14.5" thickBot="1" x14ac:dyDescent="0.3">
      <c r="E12" s="8">
        <v>0.33200000000000002</v>
      </c>
      <c r="F12" s="9">
        <v>0.17899999999999999</v>
      </c>
      <c r="I12" s="20"/>
      <c r="J12" s="20">
        <v>360</v>
      </c>
      <c r="K12" s="20">
        <v>0.48199999999999998</v>
      </c>
      <c r="L12" s="20">
        <v>0.27900000000000003</v>
      </c>
    </row>
    <row r="13" spans="5:12" ht="14.5" thickBot="1" x14ac:dyDescent="0.3">
      <c r="E13" s="13">
        <v>0.47799999999999998</v>
      </c>
      <c r="F13" s="14">
        <v>0.28000000000000003</v>
      </c>
      <c r="I13" s="20"/>
      <c r="J13" s="19" t="s">
        <v>11</v>
      </c>
      <c r="K13" s="19">
        <v>0.41499999999999998</v>
      </c>
      <c r="L13" s="19">
        <v>0.23400000000000001</v>
      </c>
    </row>
    <row r="14" spans="5:12" ht="14.5" thickBot="1" x14ac:dyDescent="0.3">
      <c r="E14" s="16">
        <v>0.40500000000000003</v>
      </c>
      <c r="F14" s="17">
        <v>0.23</v>
      </c>
      <c r="I14" s="19" t="s">
        <v>19</v>
      </c>
      <c r="J14" s="20">
        <v>24</v>
      </c>
      <c r="K14" s="20">
        <v>0.28000000000000003</v>
      </c>
      <c r="L14" s="20">
        <v>0.33100000000000002</v>
      </c>
    </row>
    <row r="15" spans="5:12" ht="14.5" thickBot="1" x14ac:dyDescent="0.3">
      <c r="E15" s="8">
        <v>0.28199999999999997</v>
      </c>
      <c r="F15" s="9">
        <v>0.32800000000000001</v>
      </c>
      <c r="I15" s="20"/>
      <c r="J15" s="20">
        <v>360</v>
      </c>
      <c r="K15" s="20">
        <v>0.52300000000000002</v>
      </c>
      <c r="L15" s="20">
        <v>0.44700000000000001</v>
      </c>
    </row>
    <row r="16" spans="5:12" ht="14.5" thickBot="1" x14ac:dyDescent="0.3">
      <c r="E16" s="13">
        <v>0.49099999999999999</v>
      </c>
      <c r="F16" s="14">
        <v>0.44500000000000001</v>
      </c>
      <c r="I16" s="20"/>
      <c r="J16" s="19" t="s">
        <v>11</v>
      </c>
      <c r="K16" s="19">
        <v>0.40100000000000002</v>
      </c>
      <c r="L16" s="19">
        <v>0.38900000000000001</v>
      </c>
    </row>
    <row r="17" spans="5:12" ht="14.5" thickBot="1" x14ac:dyDescent="0.3">
      <c r="E17" s="16">
        <v>0.38700000000000001</v>
      </c>
      <c r="F17" s="17">
        <v>0.38700000000000001</v>
      </c>
      <c r="I17" s="19" t="s">
        <v>48</v>
      </c>
      <c r="J17" s="20">
        <v>24</v>
      </c>
      <c r="K17" s="20">
        <v>8.1000000000000003E-2</v>
      </c>
      <c r="L17" s="20">
        <v>0.221</v>
      </c>
    </row>
    <row r="18" spans="5:12" ht="14.5" thickBot="1" x14ac:dyDescent="0.3">
      <c r="E18" s="8">
        <v>6.5000000000000002E-2</v>
      </c>
      <c r="F18" s="9">
        <v>0.19400000000000001</v>
      </c>
      <c r="I18" s="20"/>
      <c r="J18" s="20">
        <v>360</v>
      </c>
      <c r="K18" s="20">
        <v>0.182</v>
      </c>
      <c r="L18" s="20">
        <v>0.33400000000000002</v>
      </c>
    </row>
    <row r="19" spans="5:12" ht="14.5" thickBot="1" x14ac:dyDescent="0.3">
      <c r="E19" s="13">
        <v>0.17899999999999999</v>
      </c>
      <c r="F19" s="14">
        <v>0.33</v>
      </c>
      <c r="I19" s="20"/>
      <c r="J19" s="19" t="s">
        <v>11</v>
      </c>
      <c r="K19" s="19">
        <v>0.13100000000000001</v>
      </c>
      <c r="L19" s="19">
        <v>0.27700000000000002</v>
      </c>
    </row>
    <row r="20" spans="5:12" ht="28.5" thickBot="1" x14ac:dyDescent="0.3">
      <c r="E20" s="16">
        <v>0.122</v>
      </c>
      <c r="F20" s="17">
        <v>0.26200000000000001</v>
      </c>
      <c r="I20" s="19" t="s">
        <v>49</v>
      </c>
      <c r="J20" s="20">
        <v>24</v>
      </c>
      <c r="K20" s="20">
        <v>0.376</v>
      </c>
      <c r="L20" s="20">
        <v>0.41499999999999998</v>
      </c>
    </row>
    <row r="21" spans="5:12" ht="14.5" thickBot="1" x14ac:dyDescent="0.3">
      <c r="E21" s="8">
        <v>0.375</v>
      </c>
      <c r="F21" s="9">
        <v>0.40899999999999997</v>
      </c>
      <c r="I21" s="20"/>
      <c r="J21" s="20">
        <v>360</v>
      </c>
      <c r="K21" s="20">
        <v>0.47199999999999998</v>
      </c>
      <c r="L21" s="20">
        <v>0.499</v>
      </c>
    </row>
    <row r="22" spans="5:12" ht="14.5" thickBot="1" x14ac:dyDescent="0.3">
      <c r="E22" s="13">
        <v>0.45800000000000002</v>
      </c>
      <c r="F22" s="14">
        <v>0.49</v>
      </c>
      <c r="I22" s="20"/>
      <c r="J22" s="19" t="s">
        <v>11</v>
      </c>
      <c r="K22" s="19">
        <v>0.42399999999999999</v>
      </c>
      <c r="L22" s="19">
        <v>0.45700000000000002</v>
      </c>
    </row>
    <row r="23" spans="5:12" ht="28.5" thickBot="1" x14ac:dyDescent="0.3">
      <c r="E23" s="16">
        <v>0.41599999999999998</v>
      </c>
      <c r="F23" s="17">
        <v>0.44900000000000001</v>
      </c>
      <c r="I23" s="19" t="s">
        <v>50</v>
      </c>
      <c r="J23" s="20">
        <v>24</v>
      </c>
      <c r="K23" s="20">
        <v>0.42099999999999999</v>
      </c>
      <c r="L23" s="20">
        <v>0.441</v>
      </c>
    </row>
    <row r="24" spans="5:12" ht="14.5" thickBot="1" x14ac:dyDescent="0.3">
      <c r="E24" s="8">
        <v>0.41</v>
      </c>
      <c r="F24" s="9">
        <v>0.443</v>
      </c>
      <c r="I24" s="20"/>
      <c r="J24" s="20">
        <v>360</v>
      </c>
      <c r="K24" s="20">
        <v>0.52900000000000003</v>
      </c>
      <c r="L24" s="20">
        <v>0.53100000000000003</v>
      </c>
    </row>
    <row r="25" spans="5:12" ht="14.5" thickBot="1" x14ac:dyDescent="0.3">
      <c r="E25" s="13">
        <v>0.505</v>
      </c>
      <c r="F25" s="14">
        <v>0.51400000000000001</v>
      </c>
      <c r="I25" s="20"/>
      <c r="J25" s="19" t="s">
        <v>11</v>
      </c>
      <c r="K25" s="19">
        <v>0.47499999999999998</v>
      </c>
      <c r="L25" s="19">
        <v>0.48599999999999999</v>
      </c>
    </row>
    <row r="26" spans="5:12" ht="14.5" thickBot="1" x14ac:dyDescent="0.3">
      <c r="E26" s="16">
        <v>0.45800000000000002</v>
      </c>
      <c r="F26" s="17">
        <v>0.47899999999999998</v>
      </c>
      <c r="I26" s="19" t="s">
        <v>51</v>
      </c>
      <c r="J26" s="20">
        <v>24</v>
      </c>
      <c r="K26" s="20">
        <v>0.435</v>
      </c>
      <c r="L26" s="20">
        <v>0.48599999999999999</v>
      </c>
    </row>
    <row r="27" spans="5:12" ht="14.5" thickBot="1" x14ac:dyDescent="0.3">
      <c r="E27" s="8">
        <v>0.38100000000000001</v>
      </c>
      <c r="F27" s="9">
        <v>0.441</v>
      </c>
      <c r="I27" s="20"/>
      <c r="J27" s="20">
        <v>360</v>
      </c>
      <c r="K27" s="20">
        <v>0.46500000000000002</v>
      </c>
      <c r="L27" s="20">
        <v>0.51400000000000001</v>
      </c>
    </row>
    <row r="28" spans="5:12" ht="14.5" thickBot="1" x14ac:dyDescent="0.3">
      <c r="E28" s="13">
        <v>0.44600000000000001</v>
      </c>
      <c r="F28" s="14">
        <v>0.495</v>
      </c>
      <c r="I28" s="20"/>
      <c r="J28" s="19" t="s">
        <v>11</v>
      </c>
      <c r="K28" s="19">
        <v>0.45</v>
      </c>
      <c r="L28" s="19">
        <v>0.5</v>
      </c>
    </row>
    <row r="29" spans="5:12" ht="14.5" thickBot="1" x14ac:dyDescent="0.3">
      <c r="E29" s="16">
        <v>0.41399999999999998</v>
      </c>
      <c r="F29" s="17">
        <v>0.46800000000000003</v>
      </c>
      <c r="I29" s="19" t="s">
        <v>52</v>
      </c>
      <c r="J29" s="20">
        <v>24</v>
      </c>
      <c r="K29" s="20">
        <v>0.47299999999999998</v>
      </c>
      <c r="L29" s="20">
        <v>0.50600000000000001</v>
      </c>
    </row>
    <row r="30" spans="5:12" ht="14.5" thickBot="1" x14ac:dyDescent="0.3">
      <c r="E30" s="8">
        <v>0.42599999999999999</v>
      </c>
      <c r="F30" s="9">
        <v>0.47399999999999998</v>
      </c>
      <c r="I30" s="20"/>
      <c r="J30" s="20">
        <v>360</v>
      </c>
      <c r="K30" s="20">
        <v>0.56599999999999995</v>
      </c>
      <c r="L30" s="20">
        <v>0.56499999999999995</v>
      </c>
    </row>
    <row r="31" spans="5:12" ht="14.5" thickBot="1" x14ac:dyDescent="0.3">
      <c r="E31" s="13">
        <v>0.51900000000000002</v>
      </c>
      <c r="F31" s="14">
        <v>0.52900000000000003</v>
      </c>
      <c r="I31" s="20"/>
      <c r="J31" s="19" t="s">
        <v>11</v>
      </c>
      <c r="K31" s="19">
        <v>0.52</v>
      </c>
      <c r="L31" s="19">
        <v>0.53600000000000003</v>
      </c>
    </row>
    <row r="32" spans="5:12" ht="14.5" thickBot="1" x14ac:dyDescent="0.3">
      <c r="E32" s="16">
        <v>0.47199999999999998</v>
      </c>
      <c r="F32" s="17">
        <v>0.501</v>
      </c>
      <c r="I32" s="19" t="s">
        <v>53</v>
      </c>
      <c r="J32" s="20">
        <v>10</v>
      </c>
      <c r="K32" s="20">
        <v>6.5000000000000002E-2</v>
      </c>
      <c r="L32" s="20">
        <v>0.108</v>
      </c>
    </row>
    <row r="33" spans="5:12" ht="14.5" thickBot="1" x14ac:dyDescent="0.3">
      <c r="E33" s="8">
        <v>5.7000000000000002E-2</v>
      </c>
      <c r="F33" s="9">
        <v>8.4000000000000005E-2</v>
      </c>
      <c r="I33" s="20"/>
      <c r="J33" s="20">
        <v>30</v>
      </c>
      <c r="K33" s="20">
        <v>0.14899999999999999</v>
      </c>
      <c r="L33" s="20">
        <v>0.24299999999999999</v>
      </c>
    </row>
    <row r="34" spans="5:12" ht="14.5" thickBot="1" x14ac:dyDescent="0.3">
      <c r="E34" s="13">
        <v>0.13800000000000001</v>
      </c>
      <c r="F34" s="14">
        <v>0.224</v>
      </c>
      <c r="I34" s="20"/>
      <c r="J34" s="19" t="s">
        <v>11</v>
      </c>
      <c r="K34" s="19">
        <v>0.107</v>
      </c>
      <c r="L34" s="19">
        <v>0.17499999999999999</v>
      </c>
    </row>
    <row r="35" spans="5:12" ht="14.5" thickBot="1" x14ac:dyDescent="0.3">
      <c r="E35" s="16">
        <v>9.8000000000000004E-2</v>
      </c>
      <c r="F35" s="17">
        <v>0.154</v>
      </c>
      <c r="I35" s="19" t="s">
        <v>54</v>
      </c>
      <c r="J35" s="20">
        <v>10</v>
      </c>
      <c r="K35" s="20">
        <v>0.21099999999999999</v>
      </c>
      <c r="L35" s="20">
        <v>0.23</v>
      </c>
    </row>
    <row r="36" spans="5:12" ht="14.5" thickBot="1" x14ac:dyDescent="0.3">
      <c r="E36" s="8">
        <v>0.14000000000000001</v>
      </c>
      <c r="F36" s="9">
        <v>0.191</v>
      </c>
      <c r="I36" s="20"/>
      <c r="J36" s="20">
        <v>30</v>
      </c>
      <c r="K36" s="20">
        <v>0.40100000000000002</v>
      </c>
      <c r="L36" s="20">
        <v>0.38400000000000001</v>
      </c>
    </row>
    <row r="37" spans="5:12" ht="14.5" thickBot="1" x14ac:dyDescent="0.3">
      <c r="E37" s="13">
        <v>0.28399999999999997</v>
      </c>
      <c r="F37" s="14">
        <v>0.32700000000000001</v>
      </c>
      <c r="I37" s="20"/>
      <c r="J37" s="19" t="s">
        <v>11</v>
      </c>
      <c r="K37" s="19">
        <v>0.30599999999999999</v>
      </c>
      <c r="L37" s="19">
        <v>0.307</v>
      </c>
    </row>
    <row r="38" spans="5:12" ht="14.5" thickBot="1" x14ac:dyDescent="0.3">
      <c r="E38" s="16">
        <v>0.21199999999999999</v>
      </c>
      <c r="F38" s="17">
        <v>0.25900000000000001</v>
      </c>
      <c r="I38" s="20" t="s">
        <v>55</v>
      </c>
      <c r="J38" s="20" t="s">
        <v>55</v>
      </c>
      <c r="K38" s="20" t="s">
        <v>55</v>
      </c>
      <c r="L38" s="20" t="s">
        <v>55</v>
      </c>
    </row>
    <row r="39" spans="5:12" ht="28.5" thickBot="1" x14ac:dyDescent="0.35">
      <c r="E39" s="32">
        <v>3</v>
      </c>
      <c r="F39" s="32"/>
      <c r="I39" s="19" t="s">
        <v>56</v>
      </c>
      <c r="J39" s="20"/>
      <c r="K39" s="19">
        <v>22</v>
      </c>
      <c r="L39" s="19">
        <v>22</v>
      </c>
    </row>
  </sheetData>
  <mergeCells count="2">
    <mergeCell ref="E1:F1"/>
    <mergeCell ref="E39:F39"/>
  </mergeCells>
  <phoneticPr fontId="1" type="noConversion"/>
  <conditionalFormatting sqref="E3:E38">
    <cfRule type="expression" dxfId="3" priority="2">
      <formula>E3=$AA3</formula>
    </cfRule>
    <cfRule type="expression" dxfId="2" priority="4">
      <formula>E3=MIN($C3,$E3,$G3,$I3,$K3,$M3,$O3,$Q3,$S3,$U3,$W3,$Y3)</formula>
    </cfRule>
  </conditionalFormatting>
  <conditionalFormatting sqref="F3:F38">
    <cfRule type="expression" dxfId="1" priority="1">
      <formula>F3=$AB3</formula>
    </cfRule>
    <cfRule type="expression" dxfId="0" priority="3">
      <formula>F3=MIN($D3,$F3,$H3,$J3,$L3,$N3,$P3,$R3,$T3,$V3,$X3,$Z3)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AAED-4B09-4DF1-A09C-63C0A53C8D2C}">
  <dimension ref="A1:AB38"/>
  <sheetViews>
    <sheetView zoomScale="55" zoomScaleNormal="55" workbookViewId="0">
      <selection activeCell="AA2" sqref="AA2:AB36"/>
    </sheetView>
  </sheetViews>
  <sheetFormatPr defaultRowHeight="14" x14ac:dyDescent="0.25"/>
  <sheetData>
    <row r="1" spans="1:28" ht="42.5" thickBot="1" x14ac:dyDescent="0.3">
      <c r="A1" s="19" t="s">
        <v>58</v>
      </c>
      <c r="B1" s="19" t="s">
        <v>59</v>
      </c>
      <c r="C1" s="19" t="s">
        <v>60</v>
      </c>
      <c r="D1" s="19" t="s">
        <v>61</v>
      </c>
      <c r="E1" s="19" t="s">
        <v>62</v>
      </c>
      <c r="F1" s="19" t="s">
        <v>63</v>
      </c>
      <c r="G1" s="19" t="s">
        <v>64</v>
      </c>
      <c r="H1" s="19" t="s">
        <v>65</v>
      </c>
      <c r="I1" s="19" t="s">
        <v>66</v>
      </c>
      <c r="J1" s="19" t="s">
        <v>67</v>
      </c>
      <c r="K1" s="19" t="s">
        <v>68</v>
      </c>
      <c r="L1" s="19" t="s">
        <v>69</v>
      </c>
      <c r="M1" s="19" t="s">
        <v>70</v>
      </c>
      <c r="N1" s="19" t="s">
        <v>71</v>
      </c>
      <c r="O1" s="19" t="s">
        <v>72</v>
      </c>
      <c r="P1" s="19" t="s">
        <v>73</v>
      </c>
      <c r="Q1" s="19" t="s">
        <v>74</v>
      </c>
      <c r="R1" s="19" t="s">
        <v>75</v>
      </c>
      <c r="S1" s="19" t="s">
        <v>76</v>
      </c>
      <c r="T1" s="19" t="s">
        <v>77</v>
      </c>
      <c r="U1" s="19" t="s">
        <v>78</v>
      </c>
      <c r="V1" s="19" t="s">
        <v>79</v>
      </c>
      <c r="Y1" s="19" t="s">
        <v>58</v>
      </c>
      <c r="Z1" s="19" t="s">
        <v>59</v>
      </c>
      <c r="AA1" s="19" t="s">
        <v>45</v>
      </c>
      <c r="AB1" s="19" t="s">
        <v>46</v>
      </c>
    </row>
    <row r="2" spans="1:28" ht="14.5" thickBot="1" x14ac:dyDescent="0.3">
      <c r="A2" s="19" t="s">
        <v>0</v>
      </c>
      <c r="B2" s="20">
        <v>24</v>
      </c>
      <c r="C2" s="20">
        <v>0.23699999999999999</v>
      </c>
      <c r="D2" s="20">
        <v>0.25900000000000001</v>
      </c>
      <c r="E2" s="20">
        <v>0.27</v>
      </c>
      <c r="F2" s="20">
        <v>0.29199999999999998</v>
      </c>
      <c r="G2" s="20">
        <v>0.33</v>
      </c>
      <c r="H2" s="20">
        <v>0.32100000000000001</v>
      </c>
      <c r="I2" s="20">
        <v>0.29699999999999999</v>
      </c>
      <c r="J2" s="20">
        <v>0.309</v>
      </c>
      <c r="K2" s="20">
        <v>0.26200000000000001</v>
      </c>
      <c r="L2" s="20">
        <v>0.27100000000000002</v>
      </c>
      <c r="M2" s="20">
        <v>0.246</v>
      </c>
      <c r="N2" s="20">
        <v>0.28199999999999997</v>
      </c>
      <c r="O2" s="20">
        <v>0.30199999999999999</v>
      </c>
      <c r="P2" s="20">
        <v>0.32100000000000001</v>
      </c>
      <c r="Q2" s="20">
        <v>0.33600000000000002</v>
      </c>
      <c r="R2" s="20">
        <v>0.34399999999999997</v>
      </c>
      <c r="S2" s="20">
        <v>0.28299999999999997</v>
      </c>
      <c r="T2" s="20">
        <v>0.29599999999999999</v>
      </c>
      <c r="U2" s="20">
        <v>0.29399999999999998</v>
      </c>
      <c r="V2" s="20">
        <v>0.308</v>
      </c>
      <c r="Y2" s="19" t="s">
        <v>0</v>
      </c>
      <c r="Z2" s="20">
        <v>24</v>
      </c>
      <c r="AA2" s="20">
        <v>0.24</v>
      </c>
      <c r="AB2" s="20">
        <v>0.26</v>
      </c>
    </row>
    <row r="3" spans="1:28" ht="14.5" thickBot="1" x14ac:dyDescent="0.3">
      <c r="A3" s="20"/>
      <c r="B3" s="20">
        <v>360</v>
      </c>
      <c r="C3" s="20">
        <v>0.60099999999999998</v>
      </c>
      <c r="D3" s="20">
        <v>0.5</v>
      </c>
      <c r="E3" s="20">
        <v>0.60899999999999999</v>
      </c>
      <c r="F3" s="20">
        <v>0.47399999999999998</v>
      </c>
      <c r="G3" s="20">
        <v>0.96399999999999997</v>
      </c>
      <c r="H3" s="20">
        <v>0.65500000000000003</v>
      </c>
      <c r="I3" s="20">
        <v>0.63800000000000001</v>
      </c>
      <c r="J3" s="20">
        <v>0.52300000000000002</v>
      </c>
      <c r="K3" s="20">
        <v>0.626</v>
      </c>
      <c r="L3" s="20">
        <v>0.49399999999999999</v>
      </c>
      <c r="M3" s="20">
        <v>0.65500000000000003</v>
      </c>
      <c r="N3" s="20">
        <v>0.505</v>
      </c>
      <c r="O3" s="20">
        <v>0.73799999999999999</v>
      </c>
      <c r="P3" s="20">
        <v>0.57399999999999995</v>
      </c>
      <c r="Q3" s="20">
        <v>0.63200000000000001</v>
      </c>
      <c r="R3" s="20">
        <v>0.52700000000000002</v>
      </c>
      <c r="S3" s="20">
        <v>0.63</v>
      </c>
      <c r="T3" s="20">
        <v>0.505</v>
      </c>
      <c r="U3" s="20">
        <v>0.64700000000000002</v>
      </c>
      <c r="V3" s="20">
        <v>0.53700000000000003</v>
      </c>
      <c r="Y3" s="20"/>
      <c r="Z3" s="20">
        <v>360</v>
      </c>
      <c r="AA3" s="20">
        <v>0.62</v>
      </c>
      <c r="AB3" s="20">
        <v>0.502</v>
      </c>
    </row>
    <row r="4" spans="1:28" ht="14.5" thickBot="1" x14ac:dyDescent="0.3">
      <c r="A4" s="20"/>
      <c r="B4" s="19" t="s">
        <v>11</v>
      </c>
      <c r="C4" s="19">
        <v>0.41899999999999998</v>
      </c>
      <c r="D4" s="19">
        <v>0.38</v>
      </c>
      <c r="E4" s="19">
        <v>0.44</v>
      </c>
      <c r="F4" s="19">
        <v>0.38300000000000001</v>
      </c>
      <c r="G4" s="19">
        <v>0.64700000000000002</v>
      </c>
      <c r="H4" s="19">
        <v>0.48799999999999999</v>
      </c>
      <c r="I4" s="19">
        <v>0.46700000000000003</v>
      </c>
      <c r="J4" s="19">
        <v>0.41599999999999998</v>
      </c>
      <c r="K4" s="19">
        <v>0.44400000000000001</v>
      </c>
      <c r="L4" s="19">
        <v>0.38300000000000001</v>
      </c>
      <c r="M4" s="19">
        <v>0.45100000000000001</v>
      </c>
      <c r="N4" s="19">
        <v>0.39400000000000002</v>
      </c>
      <c r="O4" s="19">
        <v>0.52</v>
      </c>
      <c r="P4" s="19">
        <v>0.44800000000000001</v>
      </c>
      <c r="Q4" s="19">
        <v>0.48399999999999999</v>
      </c>
      <c r="R4" s="19">
        <v>0.435</v>
      </c>
      <c r="S4" s="19">
        <v>0.45700000000000002</v>
      </c>
      <c r="T4" s="19">
        <v>0.40100000000000002</v>
      </c>
      <c r="U4" s="19">
        <v>0.47099999999999997</v>
      </c>
      <c r="V4" s="19">
        <v>0.42299999999999999</v>
      </c>
      <c r="Y4" s="20"/>
      <c r="Z4" s="19" t="s">
        <v>11</v>
      </c>
      <c r="AA4" s="19">
        <v>0.43</v>
      </c>
      <c r="AB4" s="19">
        <v>0.38100000000000001</v>
      </c>
    </row>
    <row r="5" spans="1:28" ht="14.5" thickBot="1" x14ac:dyDescent="0.3">
      <c r="A5" s="19" t="s">
        <v>17</v>
      </c>
      <c r="B5" s="20">
        <v>24</v>
      </c>
      <c r="C5" s="20">
        <v>7.1999999999999995E-2</v>
      </c>
      <c r="D5" s="20">
        <v>0.16200000000000001</v>
      </c>
      <c r="E5" s="20">
        <v>9.6000000000000002E-2</v>
      </c>
      <c r="F5" s="20">
        <v>0.191</v>
      </c>
      <c r="G5" s="20">
        <v>0.129</v>
      </c>
      <c r="H5" s="20">
        <v>0.23100000000000001</v>
      </c>
      <c r="I5" s="20">
        <v>0.105</v>
      </c>
      <c r="J5" s="20">
        <v>0.21299999999999999</v>
      </c>
      <c r="K5" s="20">
        <v>8.2000000000000003E-2</v>
      </c>
      <c r="L5" s="20">
        <v>0.17799999999999999</v>
      </c>
      <c r="M5" s="20">
        <v>9.6000000000000002E-2</v>
      </c>
      <c r="N5" s="20">
        <v>0.19800000000000001</v>
      </c>
      <c r="O5" s="20">
        <v>9.2999999999999999E-2</v>
      </c>
      <c r="P5" s="20">
        <v>0.19500000000000001</v>
      </c>
      <c r="Q5" s="20">
        <v>0.13</v>
      </c>
      <c r="R5" s="20">
        <v>0.23599999999999999</v>
      </c>
      <c r="S5" s="20">
        <v>0.106</v>
      </c>
      <c r="T5" s="20">
        <v>0.21199999999999999</v>
      </c>
      <c r="U5" s="20">
        <v>0.109</v>
      </c>
      <c r="V5" s="20">
        <v>0.215</v>
      </c>
      <c r="Y5" s="19" t="s">
        <v>17</v>
      </c>
      <c r="Z5" s="20">
        <v>24</v>
      </c>
      <c r="AA5" s="20">
        <v>7.1999999999999995E-2</v>
      </c>
      <c r="AB5" s="20">
        <v>0.16400000000000001</v>
      </c>
    </row>
    <row r="6" spans="1:28" ht="14.5" thickBot="1" x14ac:dyDescent="0.3">
      <c r="A6" s="20"/>
      <c r="B6" s="20">
        <v>360</v>
      </c>
      <c r="C6" s="20">
        <v>0.18</v>
      </c>
      <c r="D6" s="20">
        <v>0.25900000000000001</v>
      </c>
      <c r="E6" s="20">
        <v>0.186</v>
      </c>
      <c r="F6" s="20">
        <v>0.26700000000000002</v>
      </c>
      <c r="G6" s="20">
        <v>0.27</v>
      </c>
      <c r="H6" s="20">
        <v>0.31</v>
      </c>
      <c r="I6" s="20">
        <v>0.21</v>
      </c>
      <c r="J6" s="20">
        <v>0.29199999999999998</v>
      </c>
      <c r="K6" s="20">
        <v>0.19800000000000001</v>
      </c>
      <c r="L6" s="20">
        <v>0.27300000000000002</v>
      </c>
      <c r="M6" s="20">
        <v>0.19700000000000001</v>
      </c>
      <c r="N6" s="20">
        <v>0.28299999999999997</v>
      </c>
      <c r="O6" s="20">
        <v>0.21</v>
      </c>
      <c r="P6" s="20">
        <v>0.29399999999999998</v>
      </c>
      <c r="Q6" s="20">
        <v>0.219</v>
      </c>
      <c r="R6" s="20">
        <v>0.30399999999999999</v>
      </c>
      <c r="S6" s="20">
        <v>0.189</v>
      </c>
      <c r="T6" s="20">
        <v>0.27300000000000002</v>
      </c>
      <c r="U6" s="20">
        <v>0.19900000000000001</v>
      </c>
      <c r="V6" s="20">
        <v>0.28499999999999998</v>
      </c>
      <c r="Y6" s="20"/>
      <c r="Z6" s="20">
        <v>360</v>
      </c>
      <c r="AA6" s="20">
        <v>0.191</v>
      </c>
      <c r="AB6" s="20">
        <v>0.26900000000000002</v>
      </c>
    </row>
    <row r="7" spans="1:28" ht="14.5" thickBot="1" x14ac:dyDescent="0.3">
      <c r="A7" s="20"/>
      <c r="B7" s="19" t="s">
        <v>11</v>
      </c>
      <c r="C7" s="19">
        <v>0.126</v>
      </c>
      <c r="D7" s="19">
        <v>0.21</v>
      </c>
      <c r="E7" s="19">
        <v>0.14099999999999999</v>
      </c>
      <c r="F7" s="19">
        <v>0.22900000000000001</v>
      </c>
      <c r="G7" s="19">
        <v>0.2</v>
      </c>
      <c r="H7" s="19">
        <v>0.27</v>
      </c>
      <c r="I7" s="19">
        <v>0.158</v>
      </c>
      <c r="J7" s="19">
        <v>0.253</v>
      </c>
      <c r="K7" s="19">
        <v>0.14000000000000001</v>
      </c>
      <c r="L7" s="19">
        <v>0.22600000000000001</v>
      </c>
      <c r="M7" s="19">
        <v>0.14699999999999999</v>
      </c>
      <c r="N7" s="19">
        <v>0.24099999999999999</v>
      </c>
      <c r="O7" s="19">
        <v>0.152</v>
      </c>
      <c r="P7" s="19">
        <v>0.245</v>
      </c>
      <c r="Q7" s="19">
        <v>0.17499999999999999</v>
      </c>
      <c r="R7" s="19">
        <v>0.27</v>
      </c>
      <c r="S7" s="19">
        <v>0.14799999999999999</v>
      </c>
      <c r="T7" s="19">
        <v>0.24299999999999999</v>
      </c>
      <c r="U7" s="19">
        <v>0.154</v>
      </c>
      <c r="V7" s="19">
        <v>0.25</v>
      </c>
      <c r="Y7" s="20"/>
      <c r="Z7" s="19" t="s">
        <v>11</v>
      </c>
      <c r="AA7" s="19">
        <v>0.13100000000000001</v>
      </c>
      <c r="AB7" s="19">
        <v>0.216</v>
      </c>
    </row>
    <row r="8" spans="1:28" ht="14.5" thickBot="1" x14ac:dyDescent="0.3">
      <c r="A8" s="19" t="s">
        <v>47</v>
      </c>
      <c r="B8" s="20">
        <v>24</v>
      </c>
      <c r="C8" s="20">
        <v>0.376</v>
      </c>
      <c r="D8" s="20">
        <v>0.24399999999999999</v>
      </c>
      <c r="E8" s="20">
        <v>0.39200000000000002</v>
      </c>
      <c r="F8" s="20">
        <v>0.253</v>
      </c>
      <c r="G8" s="20">
        <v>0.4</v>
      </c>
      <c r="H8" s="20">
        <v>0.26700000000000002</v>
      </c>
      <c r="I8" s="20">
        <v>0.49199999999999999</v>
      </c>
      <c r="J8" s="20">
        <v>0.32200000000000001</v>
      </c>
      <c r="K8" s="20">
        <v>0.376</v>
      </c>
      <c r="L8" s="20">
        <v>0.253</v>
      </c>
      <c r="M8" s="20">
        <v>0.38900000000000001</v>
      </c>
      <c r="N8" s="20">
        <v>0.253</v>
      </c>
      <c r="O8" s="20">
        <v>0.41699999999999998</v>
      </c>
      <c r="P8" s="20">
        <v>0.28299999999999997</v>
      </c>
      <c r="Q8" s="20">
        <v>0.42399999999999999</v>
      </c>
      <c r="R8" s="20">
        <v>0.28000000000000003</v>
      </c>
      <c r="S8" s="20">
        <v>0.40500000000000003</v>
      </c>
      <c r="T8" s="20">
        <v>0.26400000000000001</v>
      </c>
      <c r="U8" s="20">
        <v>0.45300000000000001</v>
      </c>
      <c r="V8" s="20">
        <v>0.308</v>
      </c>
      <c r="Y8" s="19" t="s">
        <v>47</v>
      </c>
      <c r="Z8" s="20">
        <v>24</v>
      </c>
      <c r="AA8" s="20">
        <v>0.36499999999999999</v>
      </c>
      <c r="AB8" s="20">
        <v>0.25900000000000001</v>
      </c>
    </row>
    <row r="9" spans="1:28" ht="14.5" thickBot="1" x14ac:dyDescent="0.3">
      <c r="A9" s="20"/>
      <c r="B9" s="20">
        <v>360</v>
      </c>
      <c r="C9" s="20">
        <v>0.54700000000000004</v>
      </c>
      <c r="D9" s="20">
        <v>0.35</v>
      </c>
      <c r="E9" s="20">
        <v>0.56299999999999994</v>
      </c>
      <c r="F9" s="20">
        <v>0.34899999999999998</v>
      </c>
      <c r="G9" s="20">
        <v>0.72699999999999998</v>
      </c>
      <c r="H9" s="20">
        <v>0.442</v>
      </c>
      <c r="I9" s="20">
        <v>0.60199999999999998</v>
      </c>
      <c r="J9" s="20">
        <v>0.375</v>
      </c>
      <c r="K9" s="20">
        <v>0.57099999999999995</v>
      </c>
      <c r="L9" s="20">
        <v>0.35699999999999998</v>
      </c>
      <c r="M9" s="20">
        <v>0.56399999999999995</v>
      </c>
      <c r="N9" s="20">
        <v>0.34599999999999997</v>
      </c>
      <c r="O9" s="20">
        <v>0.58799999999999997</v>
      </c>
      <c r="P9" s="20">
        <v>0.36699999999999999</v>
      </c>
      <c r="Q9" s="20">
        <v>0.55200000000000005</v>
      </c>
      <c r="R9" s="20">
        <v>0.35</v>
      </c>
      <c r="S9" s="20">
        <v>0.56399999999999995</v>
      </c>
      <c r="T9" s="20">
        <v>0.35399999999999998</v>
      </c>
      <c r="U9" s="20">
        <v>0.64500000000000002</v>
      </c>
      <c r="V9" s="20">
        <v>0.45400000000000001</v>
      </c>
      <c r="Y9" s="20"/>
      <c r="Z9" s="20">
        <v>360</v>
      </c>
      <c r="AA9" s="20">
        <v>0.55300000000000005</v>
      </c>
      <c r="AB9" s="20">
        <v>0.35399999999999998</v>
      </c>
    </row>
    <row r="10" spans="1:28" ht="14.5" thickBot="1" x14ac:dyDescent="0.3">
      <c r="A10" s="20"/>
      <c r="B10" s="19" t="s">
        <v>11</v>
      </c>
      <c r="C10" s="19">
        <v>0.46200000000000002</v>
      </c>
      <c r="D10" s="19">
        <v>0.29699999999999999</v>
      </c>
      <c r="E10" s="19">
        <v>0.47699999999999998</v>
      </c>
      <c r="F10" s="19">
        <v>0.30099999999999999</v>
      </c>
      <c r="G10" s="19">
        <v>0.56299999999999994</v>
      </c>
      <c r="H10" s="19">
        <v>0.35399999999999998</v>
      </c>
      <c r="I10" s="19">
        <v>0.54700000000000004</v>
      </c>
      <c r="J10" s="19">
        <v>0.34799999999999998</v>
      </c>
      <c r="K10" s="19">
        <v>0.47299999999999998</v>
      </c>
      <c r="L10" s="19">
        <v>0.30499999999999999</v>
      </c>
      <c r="M10" s="19">
        <v>0.47699999999999998</v>
      </c>
      <c r="N10" s="19">
        <v>0.3</v>
      </c>
      <c r="O10" s="19">
        <v>0.502</v>
      </c>
      <c r="P10" s="19">
        <v>0.32500000000000001</v>
      </c>
      <c r="Q10" s="19">
        <v>0.48799999999999999</v>
      </c>
      <c r="R10" s="19">
        <v>0.315</v>
      </c>
      <c r="S10" s="19">
        <v>0.48499999999999999</v>
      </c>
      <c r="T10" s="19">
        <v>0.309</v>
      </c>
      <c r="U10" s="19">
        <v>0.54900000000000004</v>
      </c>
      <c r="V10" s="19">
        <v>0.38100000000000001</v>
      </c>
      <c r="Y10" s="20"/>
      <c r="Z10" s="19" t="s">
        <v>11</v>
      </c>
      <c r="AA10" s="19">
        <v>0.45900000000000002</v>
      </c>
      <c r="AB10" s="19">
        <v>0.30599999999999999</v>
      </c>
    </row>
    <row r="11" spans="1:28" ht="14.5" thickBot="1" x14ac:dyDescent="0.3">
      <c r="A11" s="19" t="s">
        <v>18</v>
      </c>
      <c r="B11" s="20">
        <v>24</v>
      </c>
      <c r="C11" s="20">
        <v>0.34499999999999997</v>
      </c>
      <c r="D11" s="20">
        <v>0.19</v>
      </c>
      <c r="E11" s="20">
        <v>0.36599999999999999</v>
      </c>
      <c r="F11" s="20">
        <v>0.19500000000000001</v>
      </c>
      <c r="G11" s="20">
        <v>0.44500000000000001</v>
      </c>
      <c r="H11" s="20">
        <v>0.23100000000000001</v>
      </c>
      <c r="I11" s="20">
        <v>0.41499999999999998</v>
      </c>
      <c r="J11" s="20">
        <v>0.254</v>
      </c>
      <c r="K11" s="20">
        <v>0.35899999999999999</v>
      </c>
      <c r="L11" s="20">
        <v>0.20799999999999999</v>
      </c>
      <c r="M11" s="20">
        <v>0.39700000000000002</v>
      </c>
      <c r="N11" s="20">
        <v>0.20399999999999999</v>
      </c>
      <c r="O11" s="20">
        <v>0.42899999999999999</v>
      </c>
      <c r="P11" s="20">
        <v>0.25</v>
      </c>
      <c r="Q11" s="20">
        <v>0.44800000000000001</v>
      </c>
      <c r="R11" s="20">
        <v>0.25</v>
      </c>
      <c r="S11" s="20">
        <v>0.39700000000000002</v>
      </c>
      <c r="T11" s="20">
        <v>0.223</v>
      </c>
      <c r="U11" s="20">
        <v>0.41199999999999998</v>
      </c>
      <c r="V11" s="20">
        <v>0.253</v>
      </c>
      <c r="Y11" s="19" t="s">
        <v>18</v>
      </c>
      <c r="Z11" s="20">
        <v>24</v>
      </c>
      <c r="AA11" s="20">
        <v>0.35199999999999998</v>
      </c>
      <c r="AB11" s="20">
        <v>0.19900000000000001</v>
      </c>
    </row>
    <row r="12" spans="1:28" ht="14.5" thickBot="1" x14ac:dyDescent="0.3">
      <c r="A12" s="20"/>
      <c r="B12" s="20">
        <v>360</v>
      </c>
      <c r="C12" s="20">
        <v>0.52600000000000002</v>
      </c>
      <c r="D12" s="20">
        <v>0.307</v>
      </c>
      <c r="E12" s="20">
        <v>0.54200000000000004</v>
      </c>
      <c r="F12" s="20">
        <v>0.3</v>
      </c>
      <c r="G12" s="20">
        <v>0.624</v>
      </c>
      <c r="H12" s="20">
        <v>0.34499999999999997</v>
      </c>
      <c r="I12" s="20">
        <v>0.57399999999999995</v>
      </c>
      <c r="J12" s="20">
        <v>0.32500000000000001</v>
      </c>
      <c r="K12" s="20">
        <v>0.57699999999999996</v>
      </c>
      <c r="L12" s="20">
        <v>0.317</v>
      </c>
      <c r="M12" s="20">
        <v>0.55500000000000005</v>
      </c>
      <c r="N12" s="20">
        <v>0.31</v>
      </c>
      <c r="O12" s="20">
        <v>0.55900000000000005</v>
      </c>
      <c r="P12" s="20">
        <v>0.32200000000000001</v>
      </c>
      <c r="Q12" s="20">
        <v>0.53400000000000003</v>
      </c>
      <c r="R12" s="20">
        <v>0.30299999999999999</v>
      </c>
      <c r="S12" s="20">
        <v>0.54200000000000004</v>
      </c>
      <c r="T12" s="20">
        <v>0.30599999999999999</v>
      </c>
      <c r="U12" s="20">
        <v>0.57599999999999996</v>
      </c>
      <c r="V12" s="20">
        <v>0.35199999999999998</v>
      </c>
      <c r="Y12" s="20"/>
      <c r="Z12" s="20">
        <v>360</v>
      </c>
      <c r="AA12" s="20">
        <v>0.51900000000000002</v>
      </c>
      <c r="AB12" s="20">
        <v>0.29299999999999998</v>
      </c>
    </row>
    <row r="13" spans="1:28" ht="14.5" thickBot="1" x14ac:dyDescent="0.3">
      <c r="A13" s="20"/>
      <c r="B13" s="19" t="s">
        <v>11</v>
      </c>
      <c r="C13" s="19">
        <v>0.435</v>
      </c>
      <c r="D13" s="19">
        <v>0.249</v>
      </c>
      <c r="E13" s="19">
        <v>0.45400000000000001</v>
      </c>
      <c r="F13" s="19">
        <v>0.247</v>
      </c>
      <c r="G13" s="19">
        <v>0.53500000000000003</v>
      </c>
      <c r="H13" s="19">
        <v>0.28799999999999998</v>
      </c>
      <c r="I13" s="19">
        <v>0.49399999999999999</v>
      </c>
      <c r="J13" s="19">
        <v>0.28999999999999998</v>
      </c>
      <c r="K13" s="19">
        <v>0.46800000000000003</v>
      </c>
      <c r="L13" s="19">
        <v>0.26200000000000001</v>
      </c>
      <c r="M13" s="19">
        <v>0.47599999999999998</v>
      </c>
      <c r="N13" s="19">
        <v>0.25700000000000001</v>
      </c>
      <c r="O13" s="19">
        <v>0.49399999999999999</v>
      </c>
      <c r="P13" s="19">
        <v>0.28599999999999998</v>
      </c>
      <c r="Q13" s="19">
        <v>0.49099999999999999</v>
      </c>
      <c r="R13" s="19">
        <v>0.27600000000000002</v>
      </c>
      <c r="S13" s="19">
        <v>0.47</v>
      </c>
      <c r="T13" s="19">
        <v>0.26400000000000001</v>
      </c>
      <c r="U13" s="19">
        <v>0.49399999999999999</v>
      </c>
      <c r="V13" s="19">
        <v>0.30199999999999999</v>
      </c>
      <c r="Y13" s="20"/>
      <c r="Z13" s="19" t="s">
        <v>11</v>
      </c>
      <c r="AA13" s="19">
        <v>0.435</v>
      </c>
      <c r="AB13" s="19">
        <v>0.246</v>
      </c>
    </row>
    <row r="14" spans="1:28" ht="14.5" thickBot="1" x14ac:dyDescent="0.3">
      <c r="A14" s="19" t="s">
        <v>19</v>
      </c>
      <c r="B14" s="20">
        <v>24</v>
      </c>
      <c r="C14" s="20">
        <v>0.42199999999999999</v>
      </c>
      <c r="D14" s="20">
        <v>0.41099999999999998</v>
      </c>
      <c r="E14" s="20">
        <v>0.501</v>
      </c>
      <c r="F14" s="20">
        <v>0.44500000000000001</v>
      </c>
      <c r="G14" s="20">
        <v>0.57599999999999996</v>
      </c>
      <c r="H14" s="20">
        <v>0.45200000000000001</v>
      </c>
      <c r="I14" s="20">
        <v>0.46500000000000002</v>
      </c>
      <c r="J14" s="20">
        <v>0.433</v>
      </c>
      <c r="K14" s="20">
        <v>0.42399999999999999</v>
      </c>
      <c r="L14" s="20">
        <v>0.40300000000000002</v>
      </c>
      <c r="M14" s="20">
        <v>0.438</v>
      </c>
      <c r="N14" s="20">
        <v>0.42299999999999999</v>
      </c>
      <c r="O14" s="20">
        <v>0.49299999999999999</v>
      </c>
      <c r="P14" s="20">
        <v>0.45500000000000002</v>
      </c>
      <c r="Q14" s="20">
        <v>0.504</v>
      </c>
      <c r="R14" s="20">
        <v>0.46200000000000002</v>
      </c>
      <c r="S14" s="20">
        <v>0.503</v>
      </c>
      <c r="T14" s="20">
        <v>0.45</v>
      </c>
      <c r="U14" s="20">
        <v>0.51100000000000001</v>
      </c>
      <c r="V14" s="20">
        <v>0.45800000000000002</v>
      </c>
      <c r="Y14" s="19" t="s">
        <v>19</v>
      </c>
      <c r="Z14" s="20">
        <v>24</v>
      </c>
      <c r="AA14" s="20">
        <v>0.41299999999999998</v>
      </c>
      <c r="AB14" s="20">
        <v>0.40200000000000002</v>
      </c>
    </row>
    <row r="15" spans="1:28" ht="14.5" thickBot="1" x14ac:dyDescent="0.3">
      <c r="A15" s="20"/>
      <c r="B15" s="20">
        <v>360</v>
      </c>
      <c r="C15" s="20">
        <v>0.78400000000000003</v>
      </c>
      <c r="D15" s="20">
        <v>0.56299999999999994</v>
      </c>
      <c r="E15" s="20">
        <v>0.81799999999999995</v>
      </c>
      <c r="F15" s="20">
        <v>0.56799999999999995</v>
      </c>
      <c r="G15" s="20">
        <v>0.79200000000000004</v>
      </c>
      <c r="H15" s="20">
        <v>0.57799999999999996</v>
      </c>
      <c r="I15" s="20">
        <v>0.82299999999999995</v>
      </c>
      <c r="J15" s="20">
        <v>0.60399999999999998</v>
      </c>
      <c r="K15" s="20">
        <v>0.89500000000000002</v>
      </c>
      <c r="L15" s="20">
        <v>0.623</v>
      </c>
      <c r="M15" s="20">
        <v>0.83199999999999996</v>
      </c>
      <c r="N15" s="20">
        <v>0.59199999999999997</v>
      </c>
      <c r="O15" s="20">
        <v>0.93</v>
      </c>
      <c r="P15" s="20">
        <v>0.64200000000000002</v>
      </c>
      <c r="Q15" s="20">
        <v>0.83399999999999996</v>
      </c>
      <c r="R15" s="20">
        <v>0.59</v>
      </c>
      <c r="S15" s="20">
        <v>0.88900000000000001</v>
      </c>
      <c r="T15" s="20">
        <v>0.60399999999999998</v>
      </c>
      <c r="U15" s="20">
        <v>0.86799999999999999</v>
      </c>
      <c r="V15" s="20">
        <v>0.6</v>
      </c>
      <c r="Y15" s="20"/>
      <c r="Z15" s="20">
        <v>360</v>
      </c>
      <c r="AA15" s="20">
        <v>0.81599999999999995</v>
      </c>
      <c r="AB15" s="20">
        <v>0.6</v>
      </c>
    </row>
    <row r="16" spans="1:28" ht="14.5" thickBot="1" x14ac:dyDescent="0.3">
      <c r="A16" s="20"/>
      <c r="B16" s="19" t="s">
        <v>11</v>
      </c>
      <c r="C16" s="19">
        <v>0.60299999999999998</v>
      </c>
      <c r="D16" s="19">
        <v>0.48699999999999999</v>
      </c>
      <c r="E16" s="19">
        <v>0.65900000000000003</v>
      </c>
      <c r="F16" s="19">
        <v>0.50700000000000001</v>
      </c>
      <c r="G16" s="19">
        <v>0.68400000000000005</v>
      </c>
      <c r="H16" s="19">
        <v>0.51500000000000001</v>
      </c>
      <c r="I16" s="19">
        <v>0.64400000000000002</v>
      </c>
      <c r="J16" s="19">
        <v>0.51900000000000002</v>
      </c>
      <c r="K16" s="19">
        <v>0.66</v>
      </c>
      <c r="L16" s="19">
        <v>0.51300000000000001</v>
      </c>
      <c r="M16" s="19">
        <v>0.63500000000000001</v>
      </c>
      <c r="N16" s="19">
        <v>0.50800000000000001</v>
      </c>
      <c r="O16" s="19">
        <v>0.71199999999999997</v>
      </c>
      <c r="P16" s="19">
        <v>0.54800000000000004</v>
      </c>
      <c r="Q16" s="19">
        <v>0.66900000000000004</v>
      </c>
      <c r="R16" s="19">
        <v>0.52600000000000002</v>
      </c>
      <c r="S16" s="19">
        <v>0.69599999999999995</v>
      </c>
      <c r="T16" s="19">
        <v>0.52700000000000002</v>
      </c>
      <c r="U16" s="19">
        <v>0.69</v>
      </c>
      <c r="V16" s="19">
        <v>0.52900000000000003</v>
      </c>
      <c r="Y16" s="20"/>
      <c r="Z16" s="19" t="s">
        <v>11</v>
      </c>
      <c r="AA16" s="19">
        <v>0.61399999999999999</v>
      </c>
      <c r="AB16" s="19">
        <v>0.501</v>
      </c>
    </row>
    <row r="17" spans="1:28" ht="14.5" thickBot="1" x14ac:dyDescent="0.3">
      <c r="A17" s="19" t="s">
        <v>48</v>
      </c>
      <c r="B17" s="20">
        <v>24</v>
      </c>
      <c r="C17" s="20">
        <v>0.112</v>
      </c>
      <c r="D17" s="20">
        <v>0.25700000000000001</v>
      </c>
      <c r="E17" s="20">
        <v>0.13800000000000001</v>
      </c>
      <c r="F17" s="20">
        <v>0.29299999999999998</v>
      </c>
      <c r="G17" s="20">
        <v>0.35199999999999998</v>
      </c>
      <c r="H17" s="20">
        <v>0.46300000000000002</v>
      </c>
      <c r="I17" s="20">
        <v>0.11700000000000001</v>
      </c>
      <c r="J17" s="20">
        <v>0.26500000000000001</v>
      </c>
      <c r="K17" s="20">
        <v>0.108</v>
      </c>
      <c r="L17" s="20">
        <v>0.254</v>
      </c>
      <c r="M17" s="20">
        <v>0.10199999999999999</v>
      </c>
      <c r="N17" s="20">
        <v>0.246</v>
      </c>
      <c r="O17" s="20">
        <v>0.108</v>
      </c>
      <c r="P17" s="20">
        <v>0.254</v>
      </c>
      <c r="Q17" s="20">
        <v>0.109</v>
      </c>
      <c r="R17" s="20">
        <v>0.254</v>
      </c>
      <c r="S17" s="20">
        <v>0.108</v>
      </c>
      <c r="T17" s="20">
        <v>0.254</v>
      </c>
      <c r="U17" s="20">
        <v>0.106</v>
      </c>
      <c r="V17" s="20">
        <v>0.248</v>
      </c>
      <c r="Y17" s="19" t="s">
        <v>48</v>
      </c>
      <c r="Z17" s="20">
        <v>24</v>
      </c>
      <c r="AA17" s="20">
        <v>0.112</v>
      </c>
      <c r="AB17" s="20">
        <v>0.25900000000000001</v>
      </c>
    </row>
    <row r="18" spans="1:28" ht="14.5" thickBot="1" x14ac:dyDescent="0.3">
      <c r="A18" s="20"/>
      <c r="B18" s="20">
        <v>360</v>
      </c>
      <c r="C18" s="20">
        <v>0.189</v>
      </c>
      <c r="D18" s="20">
        <v>0.34200000000000003</v>
      </c>
      <c r="E18" s="20">
        <v>0.20599999999999999</v>
      </c>
      <c r="F18" s="20">
        <v>0.36</v>
      </c>
      <c r="G18" s="20">
        <v>0.39900000000000002</v>
      </c>
      <c r="H18" s="20">
        <v>0.497</v>
      </c>
      <c r="I18" s="20">
        <v>0.20699999999999999</v>
      </c>
      <c r="J18" s="20">
        <v>0.35799999999999998</v>
      </c>
      <c r="K18" s="20">
        <v>0.21099999999999999</v>
      </c>
      <c r="L18" s="20">
        <v>0.36199999999999999</v>
      </c>
      <c r="M18" s="20">
        <v>0.29899999999999999</v>
      </c>
      <c r="N18" s="20">
        <v>0.42499999999999999</v>
      </c>
      <c r="O18" s="20">
        <v>0.251</v>
      </c>
      <c r="P18" s="20">
        <v>0.4</v>
      </c>
      <c r="Q18" s="20">
        <v>0.186</v>
      </c>
      <c r="R18" s="20">
        <v>0.33800000000000002</v>
      </c>
      <c r="S18" s="20">
        <v>0.29799999999999999</v>
      </c>
      <c r="T18" s="20">
        <v>0.42799999999999999</v>
      </c>
      <c r="U18" s="20">
        <v>0.214</v>
      </c>
      <c r="V18" s="20">
        <v>0.36699999999999999</v>
      </c>
      <c r="Y18" s="20"/>
      <c r="Z18" s="20">
        <v>360</v>
      </c>
      <c r="AA18" s="20">
        <v>0.19500000000000001</v>
      </c>
      <c r="AB18" s="20">
        <v>0.35099999999999998</v>
      </c>
    </row>
    <row r="19" spans="1:28" ht="14.5" thickBot="1" x14ac:dyDescent="0.3">
      <c r="A19" s="20"/>
      <c r="B19" s="19" t="s">
        <v>11</v>
      </c>
      <c r="C19" s="19">
        <v>0.15</v>
      </c>
      <c r="D19" s="19">
        <v>0.3</v>
      </c>
      <c r="E19" s="19">
        <v>0.17199999999999999</v>
      </c>
      <c r="F19" s="19">
        <v>0.32600000000000001</v>
      </c>
      <c r="G19" s="19">
        <v>0.376</v>
      </c>
      <c r="H19" s="19">
        <v>0.48</v>
      </c>
      <c r="I19" s="19">
        <v>0.16200000000000001</v>
      </c>
      <c r="J19" s="19">
        <v>0.311</v>
      </c>
      <c r="K19" s="19">
        <v>0.16</v>
      </c>
      <c r="L19" s="19">
        <v>0.308</v>
      </c>
      <c r="M19" s="19">
        <v>0.20100000000000001</v>
      </c>
      <c r="N19" s="19">
        <v>0.33600000000000002</v>
      </c>
      <c r="O19" s="19">
        <v>0.18</v>
      </c>
      <c r="P19" s="19">
        <v>0.32700000000000001</v>
      </c>
      <c r="Q19" s="19">
        <v>0.14699999999999999</v>
      </c>
      <c r="R19" s="19">
        <v>0.29599999999999999</v>
      </c>
      <c r="S19" s="19">
        <v>0.20300000000000001</v>
      </c>
      <c r="T19" s="19">
        <v>0.34100000000000003</v>
      </c>
      <c r="U19" s="19">
        <v>0.16</v>
      </c>
      <c r="V19" s="19">
        <v>0.307</v>
      </c>
      <c r="Y19" s="20"/>
      <c r="Z19" s="19" t="s">
        <v>11</v>
      </c>
      <c r="AA19" s="19">
        <v>0.154</v>
      </c>
      <c r="AB19" s="19">
        <v>0.30499999999999999</v>
      </c>
    </row>
    <row r="20" spans="1:28" ht="28.5" thickBot="1" x14ac:dyDescent="0.3">
      <c r="A20" s="19" t="s">
        <v>49</v>
      </c>
      <c r="B20" s="20">
        <v>24</v>
      </c>
      <c r="C20" s="20">
        <v>0.53200000000000003</v>
      </c>
      <c r="D20" s="20">
        <v>0.51200000000000001</v>
      </c>
      <c r="E20" s="20">
        <v>0.55800000000000005</v>
      </c>
      <c r="F20" s="20">
        <v>0.53300000000000003</v>
      </c>
      <c r="G20" s="20">
        <v>0.59599999999999997</v>
      </c>
      <c r="H20" s="20">
        <v>0.53100000000000003</v>
      </c>
      <c r="I20" s="20">
        <v>0.56100000000000005</v>
      </c>
      <c r="J20" s="20">
        <v>0.54</v>
      </c>
      <c r="K20" s="20">
        <v>0.55000000000000004</v>
      </c>
      <c r="L20" s="20">
        <v>0.495</v>
      </c>
      <c r="M20" s="20">
        <v>0.54900000000000004</v>
      </c>
      <c r="N20" s="20">
        <v>0.55300000000000005</v>
      </c>
      <c r="O20" s="20">
        <v>0.57899999999999996</v>
      </c>
      <c r="P20" s="20">
        <v>0.55700000000000005</v>
      </c>
      <c r="Q20" s="20">
        <v>0.59799999999999998</v>
      </c>
      <c r="R20" s="20">
        <v>0.57899999999999996</v>
      </c>
      <c r="S20" s="20">
        <v>0.55700000000000005</v>
      </c>
      <c r="T20" s="20">
        <v>0.55700000000000005</v>
      </c>
      <c r="U20" s="20">
        <v>0.54700000000000004</v>
      </c>
      <c r="V20" s="20">
        <v>0.58899999999999997</v>
      </c>
      <c r="Y20" s="19" t="s">
        <v>49</v>
      </c>
      <c r="Z20" s="20">
        <v>24</v>
      </c>
      <c r="AA20" s="20">
        <v>0.53700000000000003</v>
      </c>
      <c r="AB20" s="20">
        <v>0.50900000000000001</v>
      </c>
    </row>
    <row r="21" spans="1:28" ht="14.5" thickBot="1" x14ac:dyDescent="0.3">
      <c r="A21" s="20"/>
      <c r="B21" s="20">
        <v>360</v>
      </c>
      <c r="C21" s="20">
        <v>0.84499999999999997</v>
      </c>
      <c r="D21" s="20">
        <v>0.69499999999999995</v>
      </c>
      <c r="E21" s="20">
        <v>0.84499999999999997</v>
      </c>
      <c r="F21" s="20">
        <v>0.68400000000000005</v>
      </c>
      <c r="G21" s="20">
        <v>1.3720000000000001</v>
      </c>
      <c r="H21" s="20">
        <v>0.92500000000000004</v>
      </c>
      <c r="I21" s="20">
        <v>0.86399999999999999</v>
      </c>
      <c r="J21" s="20">
        <v>0.72499999999999998</v>
      </c>
      <c r="K21" s="20">
        <v>0.89800000000000002</v>
      </c>
      <c r="L21" s="20">
        <v>0.67200000000000004</v>
      </c>
      <c r="M21" s="20">
        <v>1.07</v>
      </c>
      <c r="N21" s="20">
        <v>0.83399999999999996</v>
      </c>
      <c r="O21" s="20">
        <v>1.1060000000000001</v>
      </c>
      <c r="P21" s="20">
        <v>0.81399999999999995</v>
      </c>
      <c r="Q21" s="20">
        <v>0.85299999999999998</v>
      </c>
      <c r="R21" s="20">
        <v>0.76400000000000001</v>
      </c>
      <c r="S21" s="20">
        <v>0.91</v>
      </c>
      <c r="T21" s="20">
        <v>0.745</v>
      </c>
      <c r="U21" s="20">
        <v>0.83899999999999997</v>
      </c>
      <c r="V21" s="20">
        <v>0.77300000000000002</v>
      </c>
      <c r="Y21" s="20"/>
      <c r="Z21" s="20">
        <v>360</v>
      </c>
      <c r="AA21" s="20">
        <v>0.88500000000000001</v>
      </c>
      <c r="AB21" s="20">
        <v>0.68200000000000005</v>
      </c>
    </row>
    <row r="22" spans="1:28" ht="14.5" thickBot="1" x14ac:dyDescent="0.3">
      <c r="A22" s="20"/>
      <c r="B22" s="19" t="s">
        <v>11</v>
      </c>
      <c r="C22" s="19">
        <v>0.68899999999999995</v>
      </c>
      <c r="D22" s="19">
        <v>0.60399999999999998</v>
      </c>
      <c r="E22" s="19">
        <v>0.70099999999999996</v>
      </c>
      <c r="F22" s="19">
        <v>0.60899999999999999</v>
      </c>
      <c r="G22" s="19">
        <v>0.98399999999999999</v>
      </c>
      <c r="H22" s="19">
        <v>0.72799999999999998</v>
      </c>
      <c r="I22" s="19">
        <v>0.71299999999999997</v>
      </c>
      <c r="J22" s="19">
        <v>0.63300000000000001</v>
      </c>
      <c r="K22" s="19">
        <v>0.72399999999999998</v>
      </c>
      <c r="L22" s="19">
        <v>0.58299999999999996</v>
      </c>
      <c r="M22" s="19">
        <v>0.80900000000000005</v>
      </c>
      <c r="N22" s="19">
        <v>0.69399999999999995</v>
      </c>
      <c r="O22" s="19">
        <v>0.84299999999999997</v>
      </c>
      <c r="P22" s="19">
        <v>0.68500000000000005</v>
      </c>
      <c r="Q22" s="19">
        <v>0.72499999999999998</v>
      </c>
      <c r="R22" s="19">
        <v>0.67200000000000004</v>
      </c>
      <c r="S22" s="19">
        <v>0.73299999999999998</v>
      </c>
      <c r="T22" s="19">
        <v>0.65100000000000002</v>
      </c>
      <c r="U22" s="19">
        <v>0.69299999999999995</v>
      </c>
      <c r="V22" s="19">
        <v>0.68100000000000005</v>
      </c>
      <c r="Y22" s="20"/>
      <c r="Z22" s="19" t="s">
        <v>11</v>
      </c>
      <c r="AA22" s="19">
        <v>0.71099999999999997</v>
      </c>
      <c r="AB22" s="19">
        <v>0.59499999999999997</v>
      </c>
    </row>
    <row r="23" spans="1:28" ht="28.5" thickBot="1" x14ac:dyDescent="0.3">
      <c r="A23" s="19" t="s">
        <v>50</v>
      </c>
      <c r="B23" s="20">
        <v>24</v>
      </c>
      <c r="C23" s="20">
        <v>0.60899999999999999</v>
      </c>
      <c r="D23" s="20">
        <v>0.54800000000000004</v>
      </c>
      <c r="E23" s="20">
        <v>0.627</v>
      </c>
      <c r="F23" s="20">
        <v>0.56999999999999995</v>
      </c>
      <c r="G23" s="20">
        <v>0.749</v>
      </c>
      <c r="H23" s="20">
        <v>0.65700000000000003</v>
      </c>
      <c r="I23" s="20">
        <v>0.63600000000000001</v>
      </c>
      <c r="J23" s="20">
        <v>0.58199999999999996</v>
      </c>
      <c r="K23" s="20">
        <v>0.61199999999999999</v>
      </c>
      <c r="L23" s="20">
        <v>0.53700000000000003</v>
      </c>
      <c r="M23" s="20">
        <v>0.63500000000000001</v>
      </c>
      <c r="N23" s="20">
        <v>0.58599999999999997</v>
      </c>
      <c r="O23" s="20">
        <v>0.66900000000000004</v>
      </c>
      <c r="P23" s="20">
        <v>0.6</v>
      </c>
      <c r="Q23" s="20">
        <v>0.68400000000000005</v>
      </c>
      <c r="R23" s="20">
        <v>0.621</v>
      </c>
      <c r="S23" s="20">
        <v>0.64800000000000002</v>
      </c>
      <c r="T23" s="20">
        <v>0.61</v>
      </c>
      <c r="U23" s="20">
        <v>0.63100000000000001</v>
      </c>
      <c r="V23" s="20">
        <v>0.63100000000000001</v>
      </c>
      <c r="Y23" s="19" t="s">
        <v>50</v>
      </c>
      <c r="Z23" s="20">
        <v>24</v>
      </c>
      <c r="AA23" s="20">
        <v>0.63</v>
      </c>
      <c r="AB23" s="20">
        <v>0.54700000000000004</v>
      </c>
    </row>
    <row r="24" spans="1:28" ht="14.5" thickBot="1" x14ac:dyDescent="0.3">
      <c r="A24" s="20"/>
      <c r="B24" s="20">
        <v>360</v>
      </c>
      <c r="C24" s="20">
        <v>0.96199999999999997</v>
      </c>
      <c r="D24" s="20">
        <v>0.76600000000000001</v>
      </c>
      <c r="E24" s="20">
        <v>0.97799999999999998</v>
      </c>
      <c r="F24" s="20">
        <v>0.73599999999999999</v>
      </c>
      <c r="G24" s="20">
        <v>1.34</v>
      </c>
      <c r="H24" s="20">
        <v>0.877</v>
      </c>
      <c r="I24" s="20">
        <v>0.995</v>
      </c>
      <c r="J24" s="20">
        <v>0.78300000000000003</v>
      </c>
      <c r="K24" s="20">
        <v>1.028</v>
      </c>
      <c r="L24" s="20">
        <v>0.745</v>
      </c>
      <c r="M24" s="20">
        <v>0.96499999999999997</v>
      </c>
      <c r="N24" s="20">
        <v>0.78800000000000003</v>
      </c>
      <c r="O24" s="20">
        <v>1.2150000000000001</v>
      </c>
      <c r="P24" s="20">
        <v>0.86299999999999999</v>
      </c>
      <c r="Q24" s="20">
        <v>0.98699999999999999</v>
      </c>
      <c r="R24" s="20">
        <v>0.78</v>
      </c>
      <c r="S24" s="20">
        <v>1.02</v>
      </c>
      <c r="T24" s="20">
        <v>0.81899999999999995</v>
      </c>
      <c r="U24" s="20">
        <v>0.98</v>
      </c>
      <c r="V24" s="20">
        <v>0.82399999999999995</v>
      </c>
      <c r="Y24" s="20"/>
      <c r="Z24" s="20">
        <v>360</v>
      </c>
      <c r="AA24" s="20">
        <v>0.98299999999999998</v>
      </c>
      <c r="AB24" s="20">
        <v>0.73899999999999999</v>
      </c>
    </row>
    <row r="25" spans="1:28" ht="14.5" thickBot="1" x14ac:dyDescent="0.3">
      <c r="A25" s="20"/>
      <c r="B25" s="19" t="s">
        <v>11</v>
      </c>
      <c r="C25" s="19">
        <v>0.78600000000000003</v>
      </c>
      <c r="D25" s="19">
        <v>0.65700000000000003</v>
      </c>
      <c r="E25" s="19">
        <v>0.80300000000000005</v>
      </c>
      <c r="F25" s="19">
        <v>0.65300000000000002</v>
      </c>
      <c r="G25" s="19">
        <v>1.044</v>
      </c>
      <c r="H25" s="19">
        <v>0.76700000000000002</v>
      </c>
      <c r="I25" s="19">
        <v>0.81599999999999995</v>
      </c>
      <c r="J25" s="19">
        <v>0.68200000000000005</v>
      </c>
      <c r="K25" s="19">
        <v>0.82</v>
      </c>
      <c r="L25" s="19">
        <v>0.64100000000000001</v>
      </c>
      <c r="M25" s="19">
        <v>0.8</v>
      </c>
      <c r="N25" s="19">
        <v>0.68700000000000006</v>
      </c>
      <c r="O25" s="19">
        <v>0.94199999999999995</v>
      </c>
      <c r="P25" s="19">
        <v>0.73199999999999998</v>
      </c>
      <c r="Q25" s="19">
        <v>0.83599999999999997</v>
      </c>
      <c r="R25" s="19">
        <v>0.70099999999999996</v>
      </c>
      <c r="S25" s="19">
        <v>0.83399999999999996</v>
      </c>
      <c r="T25" s="19">
        <v>0.71399999999999997</v>
      </c>
      <c r="U25" s="19">
        <v>0.80500000000000005</v>
      </c>
      <c r="V25" s="19">
        <v>0.72799999999999998</v>
      </c>
      <c r="Y25" s="20"/>
      <c r="Z25" s="19" t="s">
        <v>11</v>
      </c>
      <c r="AA25" s="19">
        <v>0.80700000000000005</v>
      </c>
      <c r="AB25" s="19">
        <v>0.64300000000000002</v>
      </c>
    </row>
    <row r="26" spans="1:28" ht="28.5" thickBot="1" x14ac:dyDescent="0.3">
      <c r="A26" s="19" t="s">
        <v>51</v>
      </c>
      <c r="B26" s="20">
        <v>24</v>
      </c>
      <c r="C26" s="20">
        <v>0.64700000000000002</v>
      </c>
      <c r="D26" s="20">
        <v>0.59199999999999997</v>
      </c>
      <c r="E26" s="20">
        <v>0.65100000000000002</v>
      </c>
      <c r="F26" s="20">
        <v>0.58699999999999997</v>
      </c>
      <c r="G26" s="20">
        <v>0.754</v>
      </c>
      <c r="H26" s="20">
        <v>0.67</v>
      </c>
      <c r="I26" s="20">
        <v>0.71899999999999997</v>
      </c>
      <c r="J26" s="20">
        <v>0.64100000000000001</v>
      </c>
      <c r="K26" s="20">
        <v>0.67300000000000004</v>
      </c>
      <c r="L26" s="20">
        <v>0.57499999999999996</v>
      </c>
      <c r="M26" s="20">
        <v>0.68700000000000006</v>
      </c>
      <c r="N26" s="20">
        <v>0.65200000000000002</v>
      </c>
      <c r="O26" s="20">
        <v>1.111</v>
      </c>
      <c r="P26" s="20">
        <v>0.81599999999999995</v>
      </c>
      <c r="Q26" s="20">
        <v>0.755</v>
      </c>
      <c r="R26" s="20">
        <v>0.67900000000000005</v>
      </c>
      <c r="S26" s="20">
        <v>0.66900000000000004</v>
      </c>
      <c r="T26" s="20">
        <v>0.629</v>
      </c>
      <c r="U26" s="20">
        <v>0.73599999999999999</v>
      </c>
      <c r="V26" s="20">
        <v>0.72099999999999997</v>
      </c>
      <c r="Y26" s="19" t="s">
        <v>51</v>
      </c>
      <c r="Z26" s="20">
        <v>24</v>
      </c>
      <c r="AA26" s="20">
        <v>0.65100000000000002</v>
      </c>
      <c r="AB26" s="20">
        <v>0.57799999999999996</v>
      </c>
    </row>
    <row r="27" spans="1:28" ht="14.5" thickBot="1" x14ac:dyDescent="0.3">
      <c r="A27" s="20"/>
      <c r="B27" s="20">
        <v>360</v>
      </c>
      <c r="C27" s="20">
        <v>0.82</v>
      </c>
      <c r="D27" s="20">
        <v>0.69499999999999995</v>
      </c>
      <c r="E27" s="20">
        <v>0.84099999999999997</v>
      </c>
      <c r="F27" s="20">
        <v>0.7</v>
      </c>
      <c r="G27" s="20">
        <v>0.83099999999999996</v>
      </c>
      <c r="H27" s="20">
        <v>0.72699999999999998</v>
      </c>
      <c r="I27" s="20">
        <v>0.89700000000000002</v>
      </c>
      <c r="J27" s="20">
        <v>0.75700000000000001</v>
      </c>
      <c r="K27" s="20">
        <v>0.88600000000000001</v>
      </c>
      <c r="L27" s="20">
        <v>0.71199999999999997</v>
      </c>
      <c r="M27" s="20">
        <v>0.84899999999999998</v>
      </c>
      <c r="N27" s="20">
        <v>0.752</v>
      </c>
      <c r="O27" s="20">
        <v>1.089</v>
      </c>
      <c r="P27" s="20">
        <v>0.82299999999999995</v>
      </c>
      <c r="Q27" s="20">
        <v>0.85299999999999998</v>
      </c>
      <c r="R27" s="20">
        <v>0.76200000000000001</v>
      </c>
      <c r="S27" s="20">
        <v>0.93899999999999995</v>
      </c>
      <c r="T27" s="20">
        <v>0.80400000000000005</v>
      </c>
      <c r="U27" s="20">
        <v>0.82899999999999996</v>
      </c>
      <c r="V27" s="20">
        <v>0.78100000000000003</v>
      </c>
      <c r="Y27" s="20"/>
      <c r="Z27" s="20">
        <v>360</v>
      </c>
      <c r="AA27" s="20">
        <v>0.83</v>
      </c>
      <c r="AB27" s="20">
        <v>0.67700000000000005</v>
      </c>
    </row>
    <row r="28" spans="1:28" ht="14.5" thickBot="1" x14ac:dyDescent="0.3">
      <c r="A28" s="20"/>
      <c r="B28" s="19" t="s">
        <v>11</v>
      </c>
      <c r="C28" s="19">
        <v>0.73299999999999998</v>
      </c>
      <c r="D28" s="19">
        <v>0.64300000000000002</v>
      </c>
      <c r="E28" s="19">
        <v>0.746</v>
      </c>
      <c r="F28" s="19">
        <v>0.64300000000000002</v>
      </c>
      <c r="G28" s="19">
        <v>0.79300000000000004</v>
      </c>
      <c r="H28" s="19">
        <v>0.69799999999999995</v>
      </c>
      <c r="I28" s="19">
        <v>0.80800000000000005</v>
      </c>
      <c r="J28" s="19">
        <v>0.69899999999999995</v>
      </c>
      <c r="K28" s="19">
        <v>0.77900000000000003</v>
      </c>
      <c r="L28" s="19">
        <v>0.64400000000000002</v>
      </c>
      <c r="M28" s="19">
        <v>0.76800000000000002</v>
      </c>
      <c r="N28" s="19">
        <v>0.70199999999999996</v>
      </c>
      <c r="O28" s="19">
        <v>1.1000000000000001</v>
      </c>
      <c r="P28" s="19">
        <v>0.82</v>
      </c>
      <c r="Q28" s="19">
        <v>0.80400000000000005</v>
      </c>
      <c r="R28" s="19">
        <v>0.72</v>
      </c>
      <c r="S28" s="19">
        <v>0.80400000000000005</v>
      </c>
      <c r="T28" s="19">
        <v>0.71699999999999997</v>
      </c>
      <c r="U28" s="19">
        <v>0.78300000000000003</v>
      </c>
      <c r="V28" s="19">
        <v>0.751</v>
      </c>
      <c r="Y28" s="20"/>
      <c r="Z28" s="19" t="s">
        <v>11</v>
      </c>
      <c r="AA28" s="19">
        <v>0.74099999999999999</v>
      </c>
      <c r="AB28" s="19">
        <v>0.628</v>
      </c>
    </row>
    <row r="29" spans="1:28" ht="28.5" thickBot="1" x14ac:dyDescent="0.3">
      <c r="A29" s="19" t="s">
        <v>52</v>
      </c>
      <c r="B29" s="20">
        <v>24</v>
      </c>
      <c r="C29" s="20">
        <v>0.73899999999999999</v>
      </c>
      <c r="D29" s="20">
        <v>0.63500000000000001</v>
      </c>
      <c r="E29" s="20">
        <v>0.82</v>
      </c>
      <c r="F29" s="20">
        <v>0.67700000000000005</v>
      </c>
      <c r="G29" s="20">
        <v>0.81100000000000005</v>
      </c>
      <c r="H29" s="20">
        <v>0.71399999999999997</v>
      </c>
      <c r="I29" s="20">
        <v>0.78300000000000003</v>
      </c>
      <c r="J29" s="20">
        <v>0.67400000000000004</v>
      </c>
      <c r="K29" s="20">
        <v>0.97499999999999998</v>
      </c>
      <c r="L29" s="20">
        <v>0.69399999999999995</v>
      </c>
      <c r="M29" s="20">
        <v>0.81</v>
      </c>
      <c r="N29" s="20">
        <v>0.71799999999999997</v>
      </c>
      <c r="O29" s="20">
        <v>0.83399999999999996</v>
      </c>
      <c r="P29" s="20">
        <v>0.69099999999999995</v>
      </c>
      <c r="Q29" s="20">
        <v>0.89200000000000002</v>
      </c>
      <c r="R29" s="20">
        <v>0.74</v>
      </c>
      <c r="S29" s="20">
        <v>0.76900000000000002</v>
      </c>
      <c r="T29" s="20">
        <v>0.68</v>
      </c>
      <c r="U29" s="20">
        <v>0.83799999999999997</v>
      </c>
      <c r="V29" s="20">
        <v>0.75900000000000001</v>
      </c>
      <c r="Y29" s="19" t="s">
        <v>52</v>
      </c>
      <c r="Z29" s="20">
        <v>24</v>
      </c>
      <c r="AA29" s="20">
        <v>0.79800000000000004</v>
      </c>
      <c r="AB29" s="20">
        <v>0.64500000000000002</v>
      </c>
    </row>
    <row r="30" spans="1:28" ht="14.5" thickBot="1" x14ac:dyDescent="0.3">
      <c r="A30" s="20"/>
      <c r="B30" s="20">
        <v>360</v>
      </c>
      <c r="C30" s="20">
        <v>1</v>
      </c>
      <c r="D30" s="20">
        <v>0.755</v>
      </c>
      <c r="E30" s="20">
        <v>0.96199999999999997</v>
      </c>
      <c r="F30" s="20">
        <v>0.76100000000000001</v>
      </c>
      <c r="G30" s="20">
        <v>1.042</v>
      </c>
      <c r="H30" s="20">
        <v>0.77900000000000003</v>
      </c>
      <c r="I30" s="20">
        <v>1.056</v>
      </c>
      <c r="J30" s="20">
        <v>0.82899999999999996</v>
      </c>
      <c r="K30" s="20">
        <v>1.0389999999999999</v>
      </c>
      <c r="L30" s="20">
        <v>0.73499999999999999</v>
      </c>
      <c r="M30" s="20">
        <v>1.1020000000000001</v>
      </c>
      <c r="N30" s="20">
        <v>0.83</v>
      </c>
      <c r="O30" s="20">
        <v>1.1259999999999999</v>
      </c>
      <c r="P30" s="20">
        <v>0.84499999999999997</v>
      </c>
      <c r="Q30" s="20">
        <v>0.99</v>
      </c>
      <c r="R30" s="20">
        <v>0.82499999999999996</v>
      </c>
      <c r="S30" s="20">
        <v>1.28</v>
      </c>
      <c r="T30" s="20">
        <v>0.92500000000000004</v>
      </c>
      <c r="U30" s="20">
        <v>0.98899999999999999</v>
      </c>
      <c r="V30" s="20">
        <v>0.83699999999999997</v>
      </c>
      <c r="Y30" s="20"/>
      <c r="Z30" s="20">
        <v>360</v>
      </c>
      <c r="AA30" s="20">
        <v>0.97399999999999998</v>
      </c>
      <c r="AB30" s="20">
        <v>0.75700000000000001</v>
      </c>
    </row>
    <row r="31" spans="1:28" ht="14.5" thickBot="1" x14ac:dyDescent="0.3">
      <c r="A31" s="20"/>
      <c r="B31" s="19" t="s">
        <v>11</v>
      </c>
      <c r="C31" s="19">
        <v>0.87</v>
      </c>
      <c r="D31" s="19">
        <v>0.69499999999999995</v>
      </c>
      <c r="E31" s="19">
        <v>0.89100000000000001</v>
      </c>
      <c r="F31" s="19">
        <v>0.71899999999999997</v>
      </c>
      <c r="G31" s="19">
        <v>0.92600000000000005</v>
      </c>
      <c r="H31" s="19">
        <v>0.746</v>
      </c>
      <c r="I31" s="19">
        <v>0.91900000000000004</v>
      </c>
      <c r="J31" s="19">
        <v>0.751</v>
      </c>
      <c r="K31" s="19">
        <v>1.0069999999999999</v>
      </c>
      <c r="L31" s="19">
        <v>0.71499999999999997</v>
      </c>
      <c r="M31" s="19">
        <v>0.95599999999999996</v>
      </c>
      <c r="N31" s="19">
        <v>0.77400000000000002</v>
      </c>
      <c r="O31" s="19">
        <v>0.98</v>
      </c>
      <c r="P31" s="19">
        <v>0.76800000000000002</v>
      </c>
      <c r="Q31" s="19">
        <v>0.94099999999999995</v>
      </c>
      <c r="R31" s="19">
        <v>0.78200000000000003</v>
      </c>
      <c r="S31" s="19">
        <v>1.0249999999999999</v>
      </c>
      <c r="T31" s="19">
        <v>0.80200000000000005</v>
      </c>
      <c r="U31" s="19">
        <v>0.91300000000000003</v>
      </c>
      <c r="V31" s="19">
        <v>0.79800000000000004</v>
      </c>
      <c r="Y31" s="20"/>
      <c r="Z31" s="19" t="s">
        <v>11</v>
      </c>
      <c r="AA31" s="19">
        <v>0.88600000000000001</v>
      </c>
      <c r="AB31" s="19">
        <v>0.70099999999999996</v>
      </c>
    </row>
    <row r="32" spans="1:28" ht="14.5" thickBot="1" x14ac:dyDescent="0.3">
      <c r="A32" s="19" t="s">
        <v>53</v>
      </c>
      <c r="B32" s="20">
        <v>10</v>
      </c>
      <c r="C32" s="20">
        <v>7.1999999999999995E-2</v>
      </c>
      <c r="D32" s="20">
        <v>0.10299999999999999</v>
      </c>
      <c r="E32" s="20">
        <v>8.4000000000000005E-2</v>
      </c>
      <c r="F32" s="20">
        <v>0.14599999999999999</v>
      </c>
      <c r="G32" s="20">
        <v>0.44900000000000001</v>
      </c>
      <c r="H32" s="20">
        <v>0.27900000000000003</v>
      </c>
      <c r="I32" s="20">
        <v>9.5000000000000001E-2</v>
      </c>
      <c r="J32" s="20">
        <v>0.14000000000000001</v>
      </c>
      <c r="K32" s="20">
        <v>7.2999999999999995E-2</v>
      </c>
      <c r="L32" s="20">
        <v>0.106</v>
      </c>
      <c r="M32" s="20">
        <v>6.8000000000000005E-2</v>
      </c>
      <c r="N32" s="20">
        <v>0.10100000000000001</v>
      </c>
      <c r="O32" s="20">
        <v>7.6999999999999999E-2</v>
      </c>
      <c r="P32" s="20">
        <v>0.12</v>
      </c>
      <c r="Q32" s="20">
        <v>9.0999999999999998E-2</v>
      </c>
      <c r="R32" s="20">
        <v>0.129</v>
      </c>
      <c r="S32" s="20">
        <v>8.3000000000000004E-2</v>
      </c>
      <c r="T32" s="20">
        <v>0.125</v>
      </c>
      <c r="U32" s="20">
        <v>7.6999999999999999E-2</v>
      </c>
      <c r="V32" s="20">
        <v>0.13500000000000001</v>
      </c>
      <c r="Y32" s="19" t="s">
        <v>53</v>
      </c>
      <c r="Z32" s="20">
        <v>10</v>
      </c>
      <c r="AA32" s="20">
        <v>7.0000000000000007E-2</v>
      </c>
      <c r="AB32" s="20">
        <v>9.4E-2</v>
      </c>
    </row>
    <row r="33" spans="1:28" ht="14.5" thickBot="1" x14ac:dyDescent="0.3">
      <c r="A33" s="20"/>
      <c r="B33" s="20">
        <v>30</v>
      </c>
      <c r="C33" s="20">
        <v>0.161</v>
      </c>
      <c r="D33" s="20">
        <v>0.20799999999999999</v>
      </c>
      <c r="E33" s="20">
        <v>0.18099999999999999</v>
      </c>
      <c r="F33" s="20">
        <v>0.29299999999999998</v>
      </c>
      <c r="G33" s="20">
        <v>0.66300000000000003</v>
      </c>
      <c r="H33" s="20">
        <v>0.49399999999999999</v>
      </c>
      <c r="I33" s="20">
        <v>0.28199999999999997</v>
      </c>
      <c r="J33" s="20">
        <v>0.34100000000000003</v>
      </c>
      <c r="K33" s="20">
        <v>0.221</v>
      </c>
      <c r="L33" s="20">
        <v>0.28999999999999998</v>
      </c>
      <c r="M33" s="20">
        <v>0.19</v>
      </c>
      <c r="N33" s="20">
        <v>0.28899999999999998</v>
      </c>
      <c r="O33" s="20">
        <v>0.22700000000000001</v>
      </c>
      <c r="P33" s="20">
        <v>0.30099999999999999</v>
      </c>
      <c r="Q33" s="20">
        <v>0.311</v>
      </c>
      <c r="R33" s="20">
        <v>0.377</v>
      </c>
      <c r="S33" s="20">
        <v>0.217</v>
      </c>
      <c r="T33" s="20">
        <v>0.316</v>
      </c>
      <c r="U33" s="20">
        <v>0.318</v>
      </c>
      <c r="V33" s="20">
        <v>0.35899999999999999</v>
      </c>
      <c r="Y33" s="20"/>
      <c r="Z33" s="20">
        <v>30</v>
      </c>
      <c r="AA33" s="20">
        <v>0.16800000000000001</v>
      </c>
      <c r="AB33" s="20">
        <v>0.23599999999999999</v>
      </c>
    </row>
    <row r="34" spans="1:28" ht="14.5" thickBot="1" x14ac:dyDescent="0.3">
      <c r="A34" s="20"/>
      <c r="B34" s="19" t="s">
        <v>11</v>
      </c>
      <c r="C34" s="19">
        <v>0.11700000000000001</v>
      </c>
      <c r="D34" s="19">
        <v>0.155</v>
      </c>
      <c r="E34" s="19">
        <v>0.13200000000000001</v>
      </c>
      <c r="F34" s="19">
        <v>0.219</v>
      </c>
      <c r="G34" s="19">
        <v>0.55600000000000005</v>
      </c>
      <c r="H34" s="19">
        <v>0.38600000000000001</v>
      </c>
      <c r="I34" s="19">
        <v>0.188</v>
      </c>
      <c r="J34" s="19">
        <v>0.24</v>
      </c>
      <c r="K34" s="19">
        <v>0.14699999999999999</v>
      </c>
      <c r="L34" s="19">
        <v>0.19800000000000001</v>
      </c>
      <c r="M34" s="19">
        <v>0.129</v>
      </c>
      <c r="N34" s="19">
        <v>0.19500000000000001</v>
      </c>
      <c r="O34" s="19">
        <v>0.152</v>
      </c>
      <c r="P34" s="19">
        <v>0.21</v>
      </c>
      <c r="Q34" s="19">
        <v>0.20100000000000001</v>
      </c>
      <c r="R34" s="19">
        <v>0.253</v>
      </c>
      <c r="S34" s="19">
        <v>0.15</v>
      </c>
      <c r="T34" s="19">
        <v>0.221</v>
      </c>
      <c r="U34" s="19">
        <v>0.19800000000000001</v>
      </c>
      <c r="V34" s="19">
        <v>0.247</v>
      </c>
      <c r="Y34" s="20"/>
      <c r="Z34" s="19" t="s">
        <v>11</v>
      </c>
      <c r="AA34" s="19">
        <v>0.11899999999999999</v>
      </c>
      <c r="AB34" s="19">
        <v>0.16500000000000001</v>
      </c>
    </row>
    <row r="35" spans="1:28" ht="14.5" thickBot="1" x14ac:dyDescent="0.3">
      <c r="A35" s="19" t="s">
        <v>54</v>
      </c>
      <c r="B35" s="20">
        <v>10</v>
      </c>
      <c r="C35" s="20">
        <v>0.19500000000000001</v>
      </c>
      <c r="D35" s="20">
        <v>0.215</v>
      </c>
      <c r="E35" s="20">
        <v>0.30099999999999999</v>
      </c>
      <c r="F35" s="20">
        <v>0.308</v>
      </c>
      <c r="G35" s="20">
        <v>0.23799999999999999</v>
      </c>
      <c r="H35" s="20">
        <v>0.27400000000000002</v>
      </c>
      <c r="I35" s="20">
        <v>0.23799999999999999</v>
      </c>
      <c r="J35" s="20">
        <v>0.27</v>
      </c>
      <c r="K35" s="20">
        <v>0.221</v>
      </c>
      <c r="L35" s="20">
        <v>0.22500000000000001</v>
      </c>
      <c r="M35" s="20">
        <v>0.20100000000000001</v>
      </c>
      <c r="N35" s="20">
        <v>0.224</v>
      </c>
      <c r="O35" s="20">
        <v>0.24</v>
      </c>
      <c r="P35" s="20">
        <v>0.25900000000000001</v>
      </c>
      <c r="Q35" s="20">
        <v>0.22600000000000001</v>
      </c>
      <c r="R35" s="20">
        <v>0.23799999999999999</v>
      </c>
      <c r="S35" s="20">
        <v>0.215</v>
      </c>
      <c r="T35" s="20">
        <v>0.23200000000000001</v>
      </c>
      <c r="U35" s="20">
        <v>0.223</v>
      </c>
      <c r="V35" s="20">
        <v>0.253</v>
      </c>
      <c r="Y35" s="19" t="s">
        <v>54</v>
      </c>
      <c r="Z35" s="20">
        <v>10</v>
      </c>
      <c r="AA35" s="20">
        <v>0.217</v>
      </c>
      <c r="AB35" s="20">
        <v>0.221</v>
      </c>
    </row>
    <row r="36" spans="1:28" ht="14.5" thickBot="1" x14ac:dyDescent="0.3">
      <c r="A36" s="20"/>
      <c r="B36" s="20">
        <v>30</v>
      </c>
      <c r="C36" s="20">
        <v>0.32700000000000001</v>
      </c>
      <c r="D36" s="20">
        <v>0.34699999999999998</v>
      </c>
      <c r="E36" s="20">
        <v>0.38700000000000001</v>
      </c>
      <c r="F36" s="20">
        <v>0.41599999999999998</v>
      </c>
      <c r="G36" s="20">
        <v>0.377</v>
      </c>
      <c r="H36" s="20">
        <v>0.39400000000000002</v>
      </c>
      <c r="I36" s="20">
        <v>0.40899999999999997</v>
      </c>
      <c r="J36" s="20">
        <v>0.44400000000000001</v>
      </c>
      <c r="K36" s="20">
        <v>0.38700000000000001</v>
      </c>
      <c r="L36" s="20">
        <v>0.38600000000000001</v>
      </c>
      <c r="M36" s="20">
        <v>0.27800000000000002</v>
      </c>
      <c r="N36" s="20">
        <v>0.374</v>
      </c>
      <c r="O36" s="20">
        <v>0.433</v>
      </c>
      <c r="P36" s="20">
        <v>0.436</v>
      </c>
      <c r="Q36" s="20">
        <v>0.45800000000000002</v>
      </c>
      <c r="R36" s="20">
        <v>0.437</v>
      </c>
      <c r="S36" s="20">
        <v>0.436</v>
      </c>
      <c r="T36" s="20">
        <v>0.436</v>
      </c>
      <c r="U36" s="20">
        <v>0.41399999999999998</v>
      </c>
      <c r="V36" s="20">
        <v>0.42299999999999999</v>
      </c>
      <c r="Y36" s="20"/>
      <c r="Z36" s="20">
        <v>30</v>
      </c>
      <c r="AA36" s="20">
        <v>0.313</v>
      </c>
      <c r="AB36" s="20">
        <v>0.34599999999999997</v>
      </c>
    </row>
    <row r="37" spans="1:28" ht="14.5" thickBot="1" x14ac:dyDescent="0.3">
      <c r="A37" s="20"/>
      <c r="B37" s="19" t="s">
        <v>11</v>
      </c>
      <c r="C37" s="19">
        <v>0.26100000000000001</v>
      </c>
      <c r="D37" s="19">
        <v>0.28100000000000003</v>
      </c>
      <c r="E37" s="19">
        <v>0.34399999999999997</v>
      </c>
      <c r="F37" s="19">
        <v>0.36199999999999999</v>
      </c>
      <c r="G37" s="19">
        <v>0.308</v>
      </c>
      <c r="H37" s="19">
        <v>0.33400000000000002</v>
      </c>
      <c r="I37" s="19">
        <v>0.32300000000000001</v>
      </c>
      <c r="J37" s="19">
        <v>0.35699999999999998</v>
      </c>
      <c r="K37" s="19">
        <v>0.30399999999999999</v>
      </c>
      <c r="L37" s="19">
        <v>0.30599999999999999</v>
      </c>
      <c r="M37" s="19">
        <v>0.24</v>
      </c>
      <c r="N37" s="19">
        <v>0.29899999999999999</v>
      </c>
      <c r="O37" s="19">
        <v>0.33700000000000002</v>
      </c>
      <c r="P37" s="19">
        <v>0.34799999999999998</v>
      </c>
      <c r="Q37" s="19">
        <v>0.34200000000000003</v>
      </c>
      <c r="R37" s="19">
        <v>0.33700000000000002</v>
      </c>
      <c r="S37" s="19">
        <v>0.32500000000000001</v>
      </c>
      <c r="T37" s="19">
        <v>0.33400000000000002</v>
      </c>
      <c r="U37" s="19">
        <v>0.31900000000000001</v>
      </c>
      <c r="V37" s="19">
        <v>0.33800000000000002</v>
      </c>
      <c r="Y37" s="20"/>
      <c r="Z37" s="19" t="s">
        <v>11</v>
      </c>
      <c r="AA37" s="19">
        <v>0.26500000000000001</v>
      </c>
      <c r="AB37" s="19">
        <v>0.28399999999999997</v>
      </c>
    </row>
    <row r="38" spans="1:28" ht="28.5" thickBot="1" x14ac:dyDescent="0.3">
      <c r="A38" s="19" t="s">
        <v>56</v>
      </c>
      <c r="B38" s="20"/>
      <c r="C38" s="19">
        <v>28</v>
      </c>
      <c r="D38" s="19">
        <v>19</v>
      </c>
      <c r="E38" s="19">
        <v>1</v>
      </c>
      <c r="F38" s="19">
        <v>4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8</v>
      </c>
      <c r="M38" s="19">
        <v>4</v>
      </c>
      <c r="N38" s="19">
        <v>3</v>
      </c>
      <c r="O38" s="19">
        <v>0</v>
      </c>
      <c r="P38" s="19">
        <v>0</v>
      </c>
      <c r="Q38" s="19">
        <v>2</v>
      </c>
      <c r="R38" s="19">
        <v>2</v>
      </c>
      <c r="S38" s="19">
        <v>0</v>
      </c>
      <c r="T38" s="19">
        <v>0</v>
      </c>
      <c r="U38" s="19">
        <v>1</v>
      </c>
      <c r="V38" s="19">
        <v>0</v>
      </c>
      <c r="Y38" s="19" t="s">
        <v>56</v>
      </c>
      <c r="Z38" s="20"/>
      <c r="AA38" s="19">
        <v>18</v>
      </c>
      <c r="AB38" s="19">
        <v>13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CF95-E998-4D61-A010-CFA26CD1F7D1}">
  <dimension ref="A1:E9"/>
  <sheetViews>
    <sheetView workbookViewId="0">
      <selection activeCell="D9" sqref="D9"/>
    </sheetView>
  </sheetViews>
  <sheetFormatPr defaultRowHeight="14" x14ac:dyDescent="0.25"/>
  <cols>
    <col min="1" max="1" width="11.453125" customWidth="1"/>
    <col min="2" max="2" width="11.36328125" customWidth="1"/>
    <col min="3" max="3" width="13.81640625" customWidth="1"/>
    <col min="4" max="4" width="13.7265625" customWidth="1"/>
    <col min="5" max="5" width="15" customWidth="1"/>
  </cols>
  <sheetData>
    <row r="1" spans="1:5" x14ac:dyDescent="0.25">
      <c r="A1" s="36" t="s">
        <v>80</v>
      </c>
      <c r="B1" s="37" t="s">
        <v>82</v>
      </c>
      <c r="C1" s="37" t="s">
        <v>85</v>
      </c>
      <c r="D1" s="37" t="s">
        <v>83</v>
      </c>
      <c r="E1" s="37" t="s">
        <v>84</v>
      </c>
    </row>
    <row r="2" spans="1:5" x14ac:dyDescent="0.25">
      <c r="A2" s="36"/>
      <c r="B2" s="38"/>
      <c r="C2" s="38"/>
      <c r="D2" s="38"/>
      <c r="E2" s="38"/>
    </row>
    <row r="3" spans="1:5" x14ac:dyDescent="0.25">
      <c r="A3" s="1" t="s">
        <v>23</v>
      </c>
      <c r="B3" s="25">
        <v>0.37</v>
      </c>
      <c r="C3" s="25">
        <v>9197.6299999999992</v>
      </c>
      <c r="D3" s="25">
        <v>252.86</v>
      </c>
      <c r="E3" s="25">
        <v>76.45</v>
      </c>
    </row>
    <row r="4" spans="1:5" x14ac:dyDescent="0.25">
      <c r="A4" s="1" t="s">
        <v>22</v>
      </c>
      <c r="B4" s="25">
        <v>5.31</v>
      </c>
      <c r="C4" s="25">
        <v>227.78</v>
      </c>
      <c r="D4" s="25">
        <v>7.24</v>
      </c>
      <c r="E4" s="25">
        <v>2.52</v>
      </c>
    </row>
    <row r="5" spans="1:5" x14ac:dyDescent="0.25">
      <c r="A5" s="1" t="s">
        <v>81</v>
      </c>
      <c r="B5" s="25">
        <v>1.3</v>
      </c>
      <c r="C5" s="25">
        <v>57.55</v>
      </c>
      <c r="D5" s="25">
        <v>21.8</v>
      </c>
      <c r="E5" s="25">
        <v>11.58</v>
      </c>
    </row>
    <row r="6" spans="1:5" x14ac:dyDescent="0.25">
      <c r="A6" s="1" t="s">
        <v>21</v>
      </c>
      <c r="B6" s="25">
        <v>6.06</v>
      </c>
      <c r="C6" s="25">
        <v>163.98</v>
      </c>
      <c r="D6" s="25">
        <v>16.98</v>
      </c>
      <c r="E6" s="25">
        <v>5.4</v>
      </c>
    </row>
    <row r="7" spans="1:5" x14ac:dyDescent="0.25">
      <c r="A7" s="24" t="s">
        <v>20</v>
      </c>
      <c r="B7" s="25">
        <v>0.06</v>
      </c>
      <c r="C7" s="25">
        <v>56.59</v>
      </c>
      <c r="D7" s="25">
        <v>7.12</v>
      </c>
      <c r="E7" s="25">
        <v>2.41</v>
      </c>
    </row>
    <row r="9" spans="1:5" x14ac:dyDescent="0.25">
      <c r="A9" s="1" t="s">
        <v>86</v>
      </c>
    </row>
  </sheetData>
  <mergeCells count="5"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Sheet2 (2)</vt:lpstr>
      <vt:lpstr>Sheet3</vt:lpstr>
      <vt:lpstr>Sheet6</vt:lpstr>
      <vt:lpstr>eff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zsr</dc:creator>
  <cp:lastModifiedBy>sr z</cp:lastModifiedBy>
  <dcterms:created xsi:type="dcterms:W3CDTF">2023-05-12T11:15:00Z</dcterms:created>
  <dcterms:modified xsi:type="dcterms:W3CDTF">2026-04-15T04:11:18Z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